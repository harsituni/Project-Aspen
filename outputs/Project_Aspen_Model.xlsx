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ssumptions" sheetId="2" state="visible" r:id="rId2"/>
    <sheet xmlns:r="http://schemas.openxmlformats.org/officeDocument/2006/relationships" name="Growth_Rotation" sheetId="3" state="visible" r:id="rId3"/>
    <sheet xmlns:r="http://schemas.openxmlformats.org/officeDocument/2006/relationships" name="Harvest_Schedule" sheetId="4" state="visible" r:id="rId4"/>
    <sheet xmlns:r="http://schemas.openxmlformats.org/officeDocument/2006/relationships" name="Cash_Flows" sheetId="5" state="visible" r:id="rId5"/>
    <sheet xmlns:r="http://schemas.openxmlformats.org/officeDocument/2006/relationships" name="Sensitivity" sheetId="6" state="visible" r:id="rId6"/>
    <sheet xmlns:r="http://schemas.openxmlformats.org/officeDocument/2006/relationships" name="Monte_Carlo" sheetId="7" state="visible" r:id="rId7"/>
    <sheet xmlns:r="http://schemas.openxmlformats.org/officeDocument/2006/relationships" name="Market_Analysis" sheetId="8" state="visible" r:id="rId8"/>
  </sheets>
  <definedNames>
    <definedName name="Area_ha">Assumptions!$B$14</definedName>
    <definedName name="CR_a">Assumptions!$B$18</definedName>
    <definedName name="CR_b">Assumptions!$B$19</definedName>
    <definedName name="CR_c">Assumptions!$B$20</definedName>
    <definedName name="Stumpage">Assumptions!$B$23</definedName>
    <definedName name="PriceGrowth">Assumptions!$B$24</definedName>
    <definedName name="RegenCost">Assumptions!$B$25</definedName>
    <definedName name="MgmtCost">Assumptions!$B$26</definedName>
    <definedName name="PurchasePrice">Assumptions!$B$28</definedName>
    <definedName name="AcqCostPct">Assumptions!$B$29</definedName>
    <definedName name="DiscRate">Assumptions!$B$30</definedName>
    <definedName name="Hurdle">Assumptions!$B$31</definedName>
    <definedName name="HoldYears">Assumptions!$B$32</definedName>
    <definedName name="DispCostPct">Assumptions!$B$36</definedName>
    <definedName name="EvenFlowTol">Assumptions!$B$33</definedName>
    <definedName name="MinHarvestAge">Assumptions!$B$34</definedName>
    <definedName name="CarbonOn">Assumptions!$B$48</definedName>
    <definedName name="CarbonPrice">Assumptions!$B$49</definedName>
    <definedName name="CarbonRate">Assumptions!$B$50</definedName>
    <definedName name="CarbonArea">Assumptions!$B$51</definedName>
    <definedName name="RotationAge">Growth_Rotation!$B$9</definedName>
    <definedName name="FaustmannLEV">Growth_Rotation!$C$9</definedName>
    <definedName name="ExitInventoryValue">Harvest_Schedule!$F$208</definedName>
    <definedName name="ClosingInventory">Harvest_Schedule!$D$208</definedName>
    <definedName name="OpeningInventory">Harvest_Schedule!$E$18</definedName>
    <definedName name="HarvestVolumes">Harvest_Schedule!$B$22:$B$51</definedName>
    <definedName name="HarvestAreas">Harvest_Schedule!$C$22:$C$51</definedName>
    <definedName name="ExitPrice">Cash_Flows!$B$6</definedName>
    <definedName name="VolAtRotation">Cash_Flows!$B$7</definedName>
    <definedName name="LEVT_Exit">Cash_Flows!$B$8</definedName>
    <definedName name="TerminalValue">Cash_Flows!$B$10</definedName>
    <definedName name="ProjectNPV">Cash_Flows!$B$46</definedName>
    <definedName name="ProjectIRR">Cash_Flows!$B$47</definedName>
    <definedName name="ProjectMOIC">Cash_Flows!$B$50</definedName>
    <definedName name="BreakevenPrice">Cash_Flows!$B$52</definedName>
    <definedName name="Recommendation">Cash_Flows!$B$55</definedName>
    <definedName name="_xlnm.Print_Area" localSheetId="0">'Cover'!$A$1:$E$49</definedName>
    <definedName name="_xlnm.Print_Area" localSheetId="1">'Assumptions'!$A$1:$E$60</definedName>
    <definedName name="_xlnm.Print_Area" localSheetId="2">'Growth_Rotation'!$A$1:$F$161</definedName>
    <definedName name="_xlnm.Print_Area" localSheetId="3">'Harvest_Schedule'!$A$1:$G$208</definedName>
    <definedName name="_xlnm.Print_Area" localSheetId="4">'Cash_Flows'!$A$1:$N$55</definedName>
    <definedName name="_xlnm.Print_Area" localSheetId="5">'Sensitivity'!$A$1:$H$26</definedName>
    <definedName name="_xlnm.Print_Area" localSheetId="6">'Monte_Carlo'!$A$1:$H$24</definedName>
    <definedName name="_xlnm.Print_Area" localSheetId="7">'Market_Analysis'!$A$1:$I$48</definedName>
  </definedNames>
  <calcPr calcId="124519" fullCalcOnLoad="1"/>
</workbook>
</file>

<file path=xl/styles.xml><?xml version="1.0" encoding="utf-8"?>
<styleSheet xmlns="http://schemas.openxmlformats.org/spreadsheetml/2006/main">
  <numFmts count="11">
    <numFmt numFmtId="164" formatCode="#,##0&quot; ha&quot;"/>
    <numFmt numFmtId="165" formatCode="#,##0.0&quot; m³/ha&quot;"/>
    <numFmt numFmtId="166" formatCode="0.000"/>
    <numFmt numFmtId="167" formatCode="0.0"/>
    <numFmt numFmtId="168" formatCode="0&quot; yrs&quot;"/>
    <numFmt numFmtId="169" formatCode="&quot;$&quot;#,##0.00;[Red](&quot;$&quot;#,##0.00)"/>
    <numFmt numFmtId="170" formatCode="&quot;$&quot;#,##0;[Red](&quot;$&quot;#,##0)"/>
    <numFmt numFmtId="171" formatCode="0.0%"/>
    <numFmt numFmtId="172" formatCode="0.0000"/>
    <numFmt numFmtId="173" formatCode="0.00&quot;x&quot;"/>
    <numFmt numFmtId="174" formatCode="#,##0&quot; m³&quot;"/>
  </numFmts>
  <fonts count="26">
    <font>
      <name val="Calibri"/>
      <family val="2"/>
      <color theme="1"/>
      <sz val="11"/>
      <scheme val="minor"/>
    </font>
    <font>
      <name val="Calibri"/>
      <b val="1"/>
      <color rgb="001B4332"/>
      <sz val="20"/>
    </font>
    <font>
      <name val="Calibri"/>
      <color rgb="005C574F"/>
      <sz val="12"/>
    </font>
    <font>
      <name val="Calibri"/>
      <b val="1"/>
      <color rgb="00C1663B"/>
      <sz val="11"/>
    </font>
    <font>
      <name val="Calibri"/>
      <b val="1"/>
      <color rgb="00FFFFFF"/>
      <sz val="11"/>
    </font>
    <font>
      <name val="Calibri"/>
      <b val="1"/>
      <color rgb="001B4332"/>
      <sz val="11"/>
    </font>
    <font>
      <name val="Calibri"/>
      <color rgb="0022201D"/>
      <sz val="11"/>
    </font>
    <font>
      <name val="Calibri"/>
      <b val="1"/>
      <color rgb="001F4E79"/>
      <sz val="11"/>
    </font>
    <font>
      <name val="Calibri"/>
      <i val="1"/>
      <color rgb="00C1663B"/>
      <sz val="11"/>
    </font>
    <font>
      <name val="Calibri"/>
      <i val="1"/>
      <color rgb="005C574F"/>
      <sz val="9"/>
    </font>
    <font>
      <name val="Calibri"/>
      <i val="1"/>
      <color rgb="00C1663B"/>
      <sz val="10"/>
    </font>
    <font>
      <name val="Calibri"/>
      <color rgb="00000000"/>
      <sz val="11"/>
    </font>
    <font>
      <name val="Calibri"/>
      <b val="1"/>
      <color rgb="0022201D"/>
    </font>
    <font>
      <name val="Calibri"/>
      <b val="1"/>
    </font>
    <font>
      <name val="Calibri"/>
      <color rgb="001B7A3E"/>
      <sz val="11"/>
    </font>
    <font>
      <name val="Calibri"/>
      <b val="1"/>
      <color rgb="00000000"/>
    </font>
    <font>
      <name val="Calibri"/>
    </font>
    <font>
      <name val="Calibri"/>
      <b val="1"/>
      <color rgb="00C1663B"/>
    </font>
    <font>
      <name val="Calibri"/>
      <b val="1"/>
      <color rgb="001B4332"/>
    </font>
    <font>
      <name val="Calibri"/>
      <b val="1"/>
      <color rgb="001B4332"/>
      <sz val="30"/>
    </font>
    <font>
      <name val="Calibri"/>
      <color rgb="005C574F"/>
      <sz val="14"/>
    </font>
    <font>
      <name val="Calibri"/>
      <b val="1"/>
      <color rgb="00C1663B"/>
      <sz val="12"/>
    </font>
    <font>
      <name val="Calibri"/>
      <color rgb="005C574F"/>
      <sz val="11"/>
    </font>
    <font>
      <name val="Calibri"/>
      <b val="1"/>
      <color rgb="001B4332"/>
      <sz val="14"/>
    </font>
    <font>
      <name val="Calibri"/>
      <b val="1"/>
      <color rgb="001B7A3E"/>
    </font>
    <font>
      <name val="Calibri"/>
      <b val="1"/>
      <color rgb="001B7A3E"/>
      <u val="single"/>
    </font>
  </fonts>
  <fills count="5">
    <fill>
      <patternFill/>
    </fill>
    <fill>
      <patternFill patternType="gray125"/>
    </fill>
    <fill>
      <patternFill patternType="solid">
        <fgColor rgb="001B4332"/>
      </patternFill>
    </fill>
    <fill>
      <patternFill patternType="solid">
        <fgColor rgb="00E8E0D2"/>
      </patternFill>
    </fill>
    <fill>
      <patternFill patternType="solid">
        <fgColor rgb="00FFF7D6"/>
      </patternFill>
    </fill>
  </fills>
  <borders count="3">
    <border>
      <left/>
      <right/>
      <top/>
      <bottom/>
      <diagonal/>
    </border>
    <border>
      <left style="thin">
        <color rgb="00D9D9D9"/>
      </left>
      <right style="thin">
        <color rgb="00D9D9D9"/>
      </right>
      <top style="thin">
        <color rgb="00D9D9D9"/>
      </top>
      <bottom style="thin">
        <color rgb="00D9D9D9"/>
      </bottom>
    </border>
    <border>
      <top style="medium">
        <color rgb="001B4332"/>
      </top>
    </border>
  </borders>
  <cellStyleXfs count="1">
    <xf numFmtId="0" fontId="0" fillId="0" borderId="0"/>
  </cellStyleXfs>
  <cellXfs count="96">
    <xf numFmtId="0" fontId="0" fillId="0" borderId="0" pivotButton="0" quotePrefix="0" xfId="0"/>
    <xf numFmtId="0" fontId="19" fillId="0" borderId="0"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9" fillId="0" borderId="0" pivotButton="0" quotePrefix="0" xfId="0"/>
    <xf numFmtId="0" fontId="4" fillId="2" borderId="1" applyAlignment="1" pivotButton="0" quotePrefix="0" xfId="0">
      <alignment horizontal="left" vertical="center" wrapText="1"/>
    </xf>
    <xf numFmtId="0" fontId="6" fillId="0" borderId="1" pivotButton="0" quotePrefix="0" xfId="0"/>
    <xf numFmtId="170" fontId="24" fillId="0" borderId="1" pivotButton="0" quotePrefix="0" xfId="0"/>
    <xf numFmtId="0" fontId="9" fillId="0" borderId="1" pivotButton="0" quotePrefix="0" xfId="0"/>
    <xf numFmtId="10" fontId="24" fillId="0" borderId="1" pivotButton="0" quotePrefix="0" xfId="0"/>
    <xf numFmtId="173" fontId="24" fillId="0" borderId="1" pivotButton="0" quotePrefix="0" xfId="0"/>
    <xf numFmtId="168" fontId="24" fillId="0" borderId="1" pivotButton="0" quotePrefix="0" xfId="0"/>
    <xf numFmtId="169" fontId="24" fillId="0" borderId="1" pivotButton="0" quotePrefix="0" xfId="0"/>
    <xf numFmtId="174" fontId="24" fillId="0" borderId="1" pivotButton="0" quotePrefix="0" xfId="0"/>
    <xf numFmtId="0" fontId="24" fillId="0" borderId="1" pivotButton="0" quotePrefix="0" xfId="0"/>
    <xf numFmtId="171" fontId="13" fillId="0" borderId="1" pivotButton="0" quotePrefix="0" xfId="0"/>
    <xf numFmtId="0" fontId="13" fillId="0" borderId="1" pivotButton="0" quotePrefix="0" xfId="0"/>
    <xf numFmtId="170" fontId="13" fillId="0" borderId="1" pivotButton="0" quotePrefix="0" xfId="0"/>
    <xf numFmtId="2" fontId="13" fillId="0" borderId="1" pivotButton="0" quotePrefix="0" xfId="0"/>
    <xf numFmtId="0" fontId="25" fillId="0" borderId="1" pivotButton="0" quotePrefix="0" xfId="0"/>
    <xf numFmtId="0" fontId="7" fillId="4" borderId="1" pivotButton="0" quotePrefix="0" xfId="0"/>
    <xf numFmtId="0" fontId="11" fillId="0" borderId="1" pivotButton="0" quotePrefix="0" xfId="0"/>
    <xf numFmtId="0" fontId="14" fillId="0" borderId="1" pivotButton="0" quotePrefix="0" xfId="0"/>
    <xf numFmtId="0" fontId="9" fillId="0" borderId="0" applyAlignment="1" pivotButton="0" quotePrefix="0" xfId="0">
      <alignment vertical="top" wrapText="1"/>
    </xf>
    <xf numFmtId="0" fontId="1" fillId="0" borderId="0" pivotButton="0" quotePrefix="0" xfId="0"/>
    <xf numFmtId="0" fontId="2" fillId="0" borderId="0" pivotButton="0" quotePrefix="0" xfId="0"/>
    <xf numFmtId="0" fontId="3" fillId="0" borderId="0" pivotButton="0" quotePrefix="0" xfId="0"/>
    <xf numFmtId="0" fontId="5" fillId="3" borderId="1" pivotButton="0" quotePrefix="0" xfId="0"/>
    <xf numFmtId="0" fontId="0" fillId="3" borderId="1" pivotButton="0" quotePrefix="0" xfId="0"/>
    <xf numFmtId="0" fontId="7" fillId="4" borderId="1" applyAlignment="1" pivotButton="0" quotePrefix="0" xfId="0">
      <alignment horizontal="left"/>
    </xf>
    <xf numFmtId="0" fontId="8" fillId="0" borderId="1" pivotButton="0" quotePrefix="0" xfId="0"/>
    <xf numFmtId="0" fontId="9" fillId="0" borderId="1" applyAlignment="1" pivotButton="0" quotePrefix="0" xfId="0">
      <alignment/>
    </xf>
    <xf numFmtId="164" fontId="7" fillId="4" borderId="1" pivotButton="0" quotePrefix="0" xfId="0"/>
    <xf numFmtId="165" fontId="7" fillId="4" borderId="1" pivotButton="0" quotePrefix="0" xfId="0"/>
    <xf numFmtId="166" fontId="7" fillId="4" borderId="1" pivotButton="0" quotePrefix="0" xfId="0"/>
    <xf numFmtId="167" fontId="7" fillId="4" borderId="1" pivotButton="0" quotePrefix="0" xfId="0"/>
    <xf numFmtId="168" fontId="7" fillId="4" borderId="1" pivotButton="0" quotePrefix="0" xfId="0"/>
    <xf numFmtId="169" fontId="7" fillId="4" borderId="1" pivotButton="0" quotePrefix="0" xfId="0"/>
    <xf numFmtId="10" fontId="7" fillId="4" borderId="1" pivotButton="0" quotePrefix="0" xfId="0"/>
    <xf numFmtId="170" fontId="7" fillId="4" borderId="1" pivotButton="0" quotePrefix="0" xfId="0"/>
    <xf numFmtId="171" fontId="7" fillId="4" borderId="1" pivotButton="0" quotePrefix="0" xfId="0"/>
    <xf numFmtId="2" fontId="7" fillId="4" borderId="1" pivotButton="0" quotePrefix="0" xfId="0"/>
    <xf numFmtId="3" fontId="7" fillId="4" borderId="1" pivotButton="0" quotePrefix="0" xfId="0"/>
    <xf numFmtId="1" fontId="7" fillId="4" borderId="1" pivotButton="0" quotePrefix="0" xfId="0"/>
    <xf numFmtId="4" fontId="7" fillId="4" borderId="1" pivotButton="0" quotePrefix="0" xfId="0"/>
    <xf numFmtId="0" fontId="10" fillId="0" borderId="0" pivotButton="0" quotePrefix="0" xfId="0"/>
    <xf numFmtId="0" fontId="5" fillId="0" borderId="0" pivotButton="0" quotePrefix="0" xfId="0"/>
    <xf numFmtId="168" fontId="11" fillId="0" borderId="1" pivotButton="0" quotePrefix="0" xfId="0"/>
    <xf numFmtId="165" fontId="11" fillId="0" borderId="1" pivotButton="0" quotePrefix="0" xfId="0"/>
    <xf numFmtId="170" fontId="11" fillId="0" borderId="1" pivotButton="0" quotePrefix="0" xfId="0"/>
    <xf numFmtId="0" fontId="12" fillId="0" borderId="1" pivotButton="0" quotePrefix="0" xfId="0"/>
    <xf numFmtId="168" fontId="13" fillId="0" borderId="1" pivotButton="0" quotePrefix="0" xfId="0"/>
    <xf numFmtId="169" fontId="13" fillId="0" borderId="1" pivotButton="0" quotePrefix="0" xfId="0"/>
    <xf numFmtId="168" fontId="14" fillId="0" borderId="0" pivotButton="0" quotePrefix="0" xfId="0"/>
    <xf numFmtId="1" fontId="11" fillId="0" borderId="1" pivotButton="0" quotePrefix="0" xfId="0"/>
    <xf numFmtId="4" fontId="11" fillId="0" borderId="1" pivotButton="0" quotePrefix="0" xfId="0"/>
    <xf numFmtId="4" fontId="14" fillId="0" borderId="1" pivotButton="0" quotePrefix="0" xfId="0"/>
    <xf numFmtId="3" fontId="11" fillId="0" borderId="1" pivotButton="0" quotePrefix="0" xfId="0"/>
    <xf numFmtId="0" fontId="13" fillId="0" borderId="2" pivotButton="0" quotePrefix="0" xfId="0"/>
    <xf numFmtId="164" fontId="13" fillId="0" borderId="2" pivotButton="0" quotePrefix="0" xfId="0"/>
    <xf numFmtId="3" fontId="13" fillId="0" borderId="2" pivotButton="0" quotePrefix="0" xfId="0"/>
    <xf numFmtId="0" fontId="11" fillId="0" borderId="0" pivotButton="0" quotePrefix="0" xfId="0"/>
    <xf numFmtId="170" fontId="13" fillId="0" borderId="2" pivotButton="0" quotePrefix="0" xfId="0"/>
    <xf numFmtId="0" fontId="6" fillId="0" borderId="0" pivotButton="0" quotePrefix="0" xfId="0"/>
    <xf numFmtId="169" fontId="11" fillId="0" borderId="0" pivotButton="0" quotePrefix="0" xfId="0"/>
    <xf numFmtId="4" fontId="11" fillId="0" borderId="0" pivotButton="0" quotePrefix="0" xfId="0"/>
    <xf numFmtId="170" fontId="14" fillId="0" borderId="0" pivotButton="0" quotePrefix="0" xfId="0"/>
    <xf numFmtId="170" fontId="11" fillId="0" borderId="0" pivotButton="0" quotePrefix="0" xfId="0"/>
    <xf numFmtId="169" fontId="11" fillId="0" borderId="1" pivotButton="0" quotePrefix="0" xfId="0"/>
    <xf numFmtId="172" fontId="11" fillId="0" borderId="1" pivotButton="0" quotePrefix="0" xfId="0"/>
    <xf numFmtId="3" fontId="14" fillId="0" borderId="1" pivotButton="0" quotePrefix="0" xfId="0"/>
    <xf numFmtId="170" fontId="15" fillId="0" borderId="1" pivotButton="0" quotePrefix="0" xfId="0"/>
    <xf numFmtId="10" fontId="15" fillId="0" borderId="1" pivotButton="0" quotePrefix="0" xfId="0"/>
    <xf numFmtId="173" fontId="15" fillId="0" borderId="1" pivotButton="0" quotePrefix="0" xfId="0"/>
    <xf numFmtId="169" fontId="15" fillId="0" borderId="1" pivotButton="0" quotePrefix="0" xfId="0"/>
    <xf numFmtId="171" fontId="15" fillId="0" borderId="1" pivotButton="0" quotePrefix="0" xfId="0"/>
    <xf numFmtId="0" fontId="15" fillId="0" borderId="1" pivotButton="0" quotePrefix="0" xfId="0"/>
    <xf numFmtId="0" fontId="4" fillId="2" borderId="1" applyAlignment="1" pivotButton="0" quotePrefix="0" xfId="0">
      <alignment horizontal="center" vertical="center"/>
    </xf>
    <xf numFmtId="171" fontId="16" fillId="0" borderId="1" applyAlignment="1" pivotButton="0" quotePrefix="0" xfId="0">
      <alignment horizontal="center"/>
    </xf>
    <xf numFmtId="171" fontId="13" fillId="0" borderId="1" applyAlignment="1" pivotButton="0" quotePrefix="0" xfId="0">
      <alignment horizontal="center"/>
    </xf>
    <xf numFmtId="10" fontId="11" fillId="0" borderId="1" pivotButton="0" quotePrefix="0" xfId="0"/>
    <xf numFmtId="171" fontId="17" fillId="0" borderId="1" pivotButton="0" quotePrefix="0" xfId="0"/>
    <xf numFmtId="10" fontId="14" fillId="0" borderId="1" pivotButton="0" quotePrefix="0" xfId="0"/>
    <xf numFmtId="10" fontId="13" fillId="0" borderId="1" pivotButton="0" quotePrefix="0" xfId="0"/>
    <xf numFmtId="4" fontId="13" fillId="0" borderId="1" pivotButton="0" quotePrefix="0" xfId="0"/>
    <xf numFmtId="0" fontId="6" fillId="0" borderId="0" applyAlignment="1" pivotButton="0" quotePrefix="0" xfId="0">
      <alignment vertical="top" wrapText="1"/>
    </xf>
    <xf numFmtId="0" fontId="6" fillId="2" borderId="1" pivotButton="0" quotePrefix="0" xfId="0"/>
    <xf numFmtId="0" fontId="4" fillId="2" borderId="1" applyAlignment="1" pivotButton="0" quotePrefix="0" xfId="0">
      <alignment horizontal="center" vertical="center" wrapText="1"/>
    </xf>
    <xf numFmtId="2" fontId="0" fillId="0" borderId="1" applyAlignment="1" pivotButton="0" quotePrefix="0" xfId="0">
      <alignment horizontal="center"/>
    </xf>
    <xf numFmtId="1" fontId="0" fillId="0" borderId="1" pivotButton="0" quotePrefix="0" xfId="0"/>
    <xf numFmtId="4" fontId="18" fillId="0" borderId="1" pivotButton="0" quotePrefix="0" xfId="0"/>
    <xf numFmtId="171" fontId="11" fillId="0" borderId="1" pivotButton="0" quotePrefix="0" xfId="0"/>
    <xf numFmtId="171" fontId="18" fillId="0" borderId="1" pivotButton="0" quotePrefix="0" xfId="0"/>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Volume, MAI and CAI by stand age</a:t>
            </a:r>
          </a:p>
        </rich>
      </tx>
    </title>
    <plotArea>
      <lineChart>
        <grouping val="standard"/>
        <ser>
          <idx val="0"/>
          <order val="0"/>
          <tx>
            <strRef>
              <f>'Growth_Rotation'!B11</f>
            </strRef>
          </tx>
          <spPr>
            <a:ln xmlns:a="http://schemas.openxmlformats.org/drawingml/2006/main">
              <a:prstDash val="solid"/>
            </a:ln>
          </spPr>
          <marker>
            <symbol val="none"/>
            <spPr>
              <a:ln xmlns:a="http://schemas.openxmlformats.org/drawingml/2006/main">
                <a:prstDash val="solid"/>
              </a:ln>
            </spPr>
          </marker>
          <cat>
            <numRef>
              <f>'Growth_Rotation'!$A$12:$A$161</f>
            </numRef>
          </cat>
          <val>
            <numRef>
              <f>'Growth_Rotation'!$B$12:$B$161</f>
            </numRef>
          </val>
        </ser>
        <ser>
          <idx val="1"/>
          <order val="1"/>
          <tx>
            <strRef>
              <f>'Growth_Rotation'!C11</f>
            </strRef>
          </tx>
          <spPr>
            <a:ln xmlns:a="http://schemas.openxmlformats.org/drawingml/2006/main">
              <a:prstDash val="solid"/>
            </a:ln>
          </spPr>
          <marker>
            <symbol val="none"/>
            <spPr>
              <a:ln xmlns:a="http://schemas.openxmlformats.org/drawingml/2006/main">
                <a:prstDash val="solid"/>
              </a:ln>
            </spPr>
          </marker>
          <cat>
            <numRef>
              <f>'Growth_Rotation'!$A$12:$A$161</f>
            </numRef>
          </cat>
          <val>
            <numRef>
              <f>'Growth_Rotation'!$C$12:$C$161</f>
            </numRef>
          </val>
        </ser>
        <ser>
          <idx val="2"/>
          <order val="2"/>
          <tx>
            <strRef>
              <f>'Growth_Rotation'!D11</f>
            </strRef>
          </tx>
          <spPr>
            <a:ln xmlns:a="http://schemas.openxmlformats.org/drawingml/2006/main">
              <a:prstDash val="solid"/>
            </a:ln>
          </spPr>
          <marker>
            <symbol val="none"/>
            <spPr>
              <a:ln xmlns:a="http://schemas.openxmlformats.org/drawingml/2006/main">
                <a:prstDash val="solid"/>
              </a:ln>
            </spPr>
          </marker>
          <cat>
            <numRef>
              <f>'Growth_Rotation'!$A$12:$A$161</f>
            </numRef>
          </cat>
          <val>
            <numRef>
              <f>'Growth_Rotation'!$D$12:$D$161</f>
            </numRef>
          </val>
        </ser>
        <axId val="10"/>
        <axId val="100"/>
      </lineChart>
      <catAx>
        <axId val="10"/>
        <scaling>
          <orientation val="minMax"/>
        </scaling>
        <axPos val="l"/>
        <title>
          <tx>
            <rich>
              <a:bodyPr xmlns:a="http://schemas.openxmlformats.org/drawingml/2006/main"/>
              <a:p xmlns:a="http://schemas.openxmlformats.org/drawingml/2006/main">
                <a:pPr>
                  <a:defRPr/>
                </a:pPr>
                <a:r>
                  <a:t>Stand age (years)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m³/ha and m³/ha/yr</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3.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oneCellAnchor>
    <from>
      <col>7</col>
      <colOff>0</colOff>
      <row>5</row>
      <rowOff>0</rowOff>
    </from>
    <ext cx="612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29</row>
      <rowOff>0</rowOff>
    </from>
    <ext cx="7239000" cy="419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69</row>
      <rowOff>0</rowOff>
    </from>
    <ext cx="7239000" cy="4038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50</row>
      <rowOff>0</rowOff>
    </from>
    <ext cx="6667500" cy="4924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88</row>
      <rowOff>0</rowOff>
    </from>
    <ext cx="7429500" cy="41338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ver'!A1" TargetMode="External" Id="rId1"/><Relationship Type="http://schemas.openxmlformats.org/officeDocument/2006/relationships/hyperlink" Target="#'Assumptions'!A1" TargetMode="External" Id="rId2"/><Relationship Type="http://schemas.openxmlformats.org/officeDocument/2006/relationships/hyperlink" Target="#'Growth_Rotation'!A1" TargetMode="External" Id="rId3"/><Relationship Type="http://schemas.openxmlformats.org/officeDocument/2006/relationships/hyperlink" Target="#'Harvest_Schedule'!A1" TargetMode="External" Id="rId4"/><Relationship Type="http://schemas.openxmlformats.org/officeDocument/2006/relationships/hyperlink" Target="#'Cash_Flows'!A1" TargetMode="External" Id="rId5"/><Relationship Type="http://schemas.openxmlformats.org/officeDocument/2006/relationships/hyperlink" Target="#'Sensitivity'!A1" TargetMode="External" Id="rId6"/><Relationship Type="http://schemas.openxmlformats.org/officeDocument/2006/relationships/hyperlink" Target="#'Monte_Carlo'!A1" TargetMode="External" Id="rId7"/><Relationship Type="http://schemas.openxmlformats.org/officeDocument/2006/relationships/hyperlink" Target="#'Market_Analysis'!A1" TargetMode="External" Id="rId8"/></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B2:D49"/>
  <sheetViews>
    <sheetView showGridLines="0" workbookViewId="0">
      <selection activeCell="A1" sqref="A1"/>
    </sheetView>
  </sheetViews>
  <sheetFormatPr baseColWidth="8" defaultRowHeight="15"/>
  <cols>
    <col width="4" customWidth="1" min="1" max="1"/>
    <col width="46" customWidth="1" min="2" max="2"/>
    <col width="24" customWidth="1" min="3" max="3"/>
    <col width="66" customWidth="1" min="4" max="4"/>
    <col width="4" customWidth="1" min="5" max="5"/>
  </cols>
  <sheetData>
    <row r="2">
      <c r="B2" s="1" t="inlineStr">
        <is>
          <t>Project Aspen</t>
        </is>
      </c>
    </row>
    <row r="3">
      <c r="B3" s="2" t="inlineStr">
        <is>
          <t>Timberland acquisition analysis: 20,000 ha boreal tract, Alberta</t>
        </is>
      </c>
    </row>
    <row r="4">
      <c r="B4" s="3" t="inlineStr">
        <is>
          <t>HYPOTHETICAL TRACT, FOR PORTFOLIO PURPOSES ONLY. NOT INVESTMENT ADVICE.</t>
        </is>
      </c>
    </row>
    <row r="5">
      <c r="B5" s="4" t="inlineStr">
        <is>
          <t>Prepared by Harsit Baral  ·  all figures in real CAD</t>
        </is>
      </c>
    </row>
    <row r="7">
      <c r="B7" s="5" t="inlineStr">
        <is>
          <t>Headline results</t>
        </is>
      </c>
    </row>
    <row r="8">
      <c r="B8" s="6" t="inlineStr">
        <is>
          <t>Every figure below is a live link to the sheet that computes it.</t>
        </is>
      </c>
    </row>
    <row r="9" ht="30" customHeight="1">
      <c r="B9" s="7" t="inlineStr">
        <is>
          <t>Measure</t>
        </is>
      </c>
      <c r="C9" s="7" t="inlineStr">
        <is>
          <t>Value</t>
        </is>
      </c>
      <c r="D9" s="7" t="inlineStr">
        <is>
          <t>Computed on</t>
        </is>
      </c>
    </row>
    <row r="10">
      <c r="B10" s="8" t="inlineStr">
        <is>
          <t>Asking price</t>
        </is>
      </c>
      <c r="C10" s="9">
        <f>PurchasePrice</f>
        <v/>
      </c>
      <c r="D10" s="10" t="inlineStr">
        <is>
          <t>Assumptions</t>
        </is>
      </c>
    </row>
    <row r="11">
      <c r="B11" s="8" t="inlineStr">
        <is>
          <t>Net present value at the hurdle</t>
        </is>
      </c>
      <c r="C11" s="9">
        <f>ProjectNPV</f>
        <v/>
      </c>
      <c r="D11" s="10" t="inlineStr">
        <is>
          <t>Cash_Flows</t>
        </is>
      </c>
    </row>
    <row r="12">
      <c r="B12" s="8" t="inlineStr">
        <is>
          <t>Project IRR</t>
        </is>
      </c>
      <c r="C12" s="11">
        <f>ProjectIRR</f>
        <v/>
      </c>
      <c r="D12" s="10" t="inlineStr">
        <is>
          <t>Cash_Flows</t>
        </is>
      </c>
    </row>
    <row r="13">
      <c r="B13" s="8" t="inlineStr">
        <is>
          <t>Hurdle rate</t>
        </is>
      </c>
      <c r="C13" s="11">
        <f>Hurdle</f>
        <v/>
      </c>
      <c r="D13" s="10" t="inlineStr">
        <is>
          <t>Assumptions</t>
        </is>
      </c>
    </row>
    <row r="14">
      <c r="B14" s="8" t="inlineStr">
        <is>
          <t>Multiple on invested capital</t>
        </is>
      </c>
      <c r="C14" s="12">
        <f>ProjectMOIC</f>
        <v/>
      </c>
      <c r="D14" s="10" t="inlineStr">
        <is>
          <t>Cash_Flows</t>
        </is>
      </c>
    </row>
    <row r="15">
      <c r="B15" s="8" t="inlineStr">
        <is>
          <t>Breakeven purchase price</t>
        </is>
      </c>
      <c r="C15" s="9">
        <f>BreakevenPrice</f>
        <v/>
      </c>
      <c r="D15" s="10" t="inlineStr">
        <is>
          <t>Cash_Flows</t>
        </is>
      </c>
    </row>
    <row r="16">
      <c r="B16" s="8" t="inlineStr">
        <is>
          <t>Faustmann rotation age</t>
        </is>
      </c>
      <c r="C16" s="13">
        <f>RotationAge</f>
        <v/>
      </c>
      <c r="D16" s="10" t="inlineStr">
        <is>
          <t>Growth_Rotation</t>
        </is>
      </c>
    </row>
    <row r="17">
      <c r="B17" s="8" t="inlineStr">
        <is>
          <t>Land expectation value</t>
        </is>
      </c>
      <c r="C17" s="14">
        <f>FaustmannLEV</f>
        <v/>
      </c>
      <c r="D17" s="10" t="inlineStr">
        <is>
          <t>Growth_Rotation</t>
        </is>
      </c>
    </row>
    <row r="18">
      <c r="B18" s="8" t="inlineStr">
        <is>
          <t>Sustainable annual cut</t>
        </is>
      </c>
      <c r="C18" s="15">
        <f>AVERAGE(HarvestVolumes)</f>
        <v/>
      </c>
      <c r="D18" s="10" t="inlineStr">
        <is>
          <t>Harvest_Schedule</t>
        </is>
      </c>
    </row>
    <row r="19">
      <c r="B19" s="8" t="inlineStr">
        <is>
          <t>Recommendation</t>
        </is>
      </c>
      <c r="C19" s="16">
        <f>Recommendation</f>
        <v/>
      </c>
      <c r="D19" s="10" t="inlineStr">
        <is>
          <t>Cash_Flows</t>
        </is>
      </c>
    </row>
    <row r="21">
      <c r="B21" s="5" t="inlineStr">
        <is>
          <t>Risk and portfolio fit</t>
        </is>
      </c>
    </row>
    <row r="22" ht="30" customHeight="1">
      <c r="B22" s="7" t="inlineStr">
        <is>
          <t>Measure</t>
        </is>
      </c>
      <c r="C22" s="7" t="inlineStr">
        <is>
          <t>Value</t>
        </is>
      </c>
      <c r="D22" s="7" t="inlineStr">
        <is>
          <t>Basis</t>
        </is>
      </c>
    </row>
    <row r="23">
      <c r="B23" s="8" t="inlineStr">
        <is>
          <t>Probability of missing the hurdle</t>
        </is>
      </c>
      <c r="C23" s="17" t="n">
        <v>0.0956</v>
      </c>
      <c r="D23" s="10" t="inlineStr">
        <is>
          <t>10,000 simulated paths, seed 42</t>
        </is>
      </c>
    </row>
    <row r="24">
      <c r="B24" s="8" t="inlineStr">
        <is>
          <t>IRR range, 5th to 95th percentile</t>
        </is>
      </c>
      <c r="C24" s="18" t="inlineStr">
        <is>
          <t>5.6% to 10.6%</t>
        </is>
      </c>
      <c r="D24" s="10" t="inlineStr">
        <is>
          <t>Monte_Carlo</t>
        </is>
      </c>
    </row>
    <row r="25">
      <c r="B25" s="8" t="inlineStr">
        <is>
          <t>Value of harvest timing flexibility</t>
        </is>
      </c>
      <c r="C25" s="19" t="n">
        <v>3526107.957752835</v>
      </c>
      <c r="D25" s="10" t="inlineStr">
        <is>
          <t>A real option created by mean-reverting prices</t>
        </is>
      </c>
    </row>
    <row r="26">
      <c r="B26" s="8" t="inlineStr">
        <is>
          <t>Expected cost of fire and pests</t>
        </is>
      </c>
      <c r="C26" s="19" t="n">
        <v>1124144.449824307</v>
      </c>
      <c r="D26" s="10" t="inlineStr">
        <is>
          <t>Measured against identical price paths with no disturbance</t>
        </is>
      </c>
    </row>
    <row r="27">
      <c r="B27" s="8" t="inlineStr">
        <is>
          <t>Timber proxy correlation to the S&amp;P/TSX</t>
        </is>
      </c>
      <c r="C27" s="20" t="n">
        <v>0.4738040301246882</v>
      </c>
      <c r="D27" s="10" t="inlineStr">
        <is>
          <t>Listed REITs are equities first, an upper bound on true correlation</t>
        </is>
      </c>
    </row>
    <row r="28">
      <c r="B28" s="8" t="inlineStr">
        <is>
          <t>Proxies with a significant inflation beta</t>
        </is>
      </c>
      <c r="C28" s="18" t="inlineStr">
        <is>
          <t>0 of 8</t>
        </is>
      </c>
      <c r="D28" s="10" t="inlineStr">
        <is>
          <t>At the 10% level; see Market_Analysis</t>
        </is>
      </c>
    </row>
    <row r="31">
      <c r="B31" s="5" t="inlineStr">
        <is>
          <t>Contents</t>
        </is>
      </c>
    </row>
    <row r="32" ht="30" customHeight="1">
      <c r="B32" s="7" t="inlineStr">
        <is>
          <t>Sheet</t>
        </is>
      </c>
      <c r="C32" s="7" t="inlineStr"/>
      <c r="D32" s="7" t="inlineStr">
        <is>
          <t>What it contains</t>
        </is>
      </c>
    </row>
    <row r="33">
      <c r="B33" s="21" t="inlineStr">
        <is>
          <t>Cover</t>
        </is>
      </c>
      <c r="D33" s="8" t="inlineStr">
        <is>
          <t>Title, contents and headline results</t>
        </is>
      </c>
    </row>
    <row r="34">
      <c r="B34" s="21" t="inlineStr">
        <is>
          <t>Assumptions</t>
        </is>
      </c>
      <c r="D34" s="8" t="inlineStr">
        <is>
          <t>Every input, with its unit and source</t>
        </is>
      </c>
    </row>
    <row r="35">
      <c r="B35" s="21" t="inlineStr">
        <is>
          <t>Growth_Rotation</t>
        </is>
      </c>
      <c r="D35" s="8" t="inlineStr">
        <is>
          <t>Yield curve and the three rotation criteria</t>
        </is>
      </c>
    </row>
    <row r="36">
      <c r="B36" s="21" t="inlineStr">
        <is>
          <t>Harvest_Schedule</t>
        </is>
      </c>
      <c r="D36" s="8" t="inlineStr">
        <is>
          <t>Age classes, annual cut and the year-30 forest</t>
        </is>
      </c>
    </row>
    <row r="37">
      <c r="B37" s="21" t="inlineStr">
        <is>
          <t>Cash_Flows</t>
        </is>
      </c>
      <c r="D37" s="8" t="inlineStr">
        <is>
          <t>30-year DCF, NPV, IRR, MOIC and breakeven</t>
        </is>
      </c>
    </row>
    <row r="38">
      <c r="B38" s="21" t="inlineStr">
        <is>
          <t>Sensitivity</t>
        </is>
      </c>
      <c r="D38" s="8" t="inlineStr">
        <is>
          <t>Two-way IRR grids</t>
        </is>
      </c>
    </row>
    <row r="39">
      <c r="B39" s="21" t="inlineStr">
        <is>
          <t>Monte_Carlo</t>
        </is>
      </c>
      <c r="D39" s="8" t="inlineStr">
        <is>
          <t>10,000-path risk simulation</t>
        </is>
      </c>
    </row>
    <row r="40">
      <c r="B40" s="21" t="inlineStr">
        <is>
          <t>Market_Analysis</t>
        </is>
      </c>
      <c r="D40" s="8" t="inlineStr">
        <is>
          <t>Correlation and inflation evidence</t>
        </is>
      </c>
    </row>
    <row r="42">
      <c r="B42" s="5" t="inlineStr">
        <is>
          <t>How to read this workbook</t>
        </is>
      </c>
    </row>
    <row r="43">
      <c r="B43" s="22" t="inlineStr">
        <is>
          <t>Blue text on yellow</t>
        </is>
      </c>
      <c r="D43" s="8" t="inlineStr">
        <is>
          <t>A hard input. These are the only numbers typed in; change one and everything downstream moves.</t>
        </is>
      </c>
    </row>
    <row r="44">
      <c r="B44" s="23" t="inlineStr">
        <is>
          <t>Black text</t>
        </is>
      </c>
      <c r="D44" s="8" t="inlineStr">
        <is>
          <t>A formula calculated on that sheet. Click it to see the logic.</t>
        </is>
      </c>
    </row>
    <row r="45">
      <c r="B45" s="24" t="inlineStr">
        <is>
          <t>Green text</t>
        </is>
      </c>
      <c r="D45" s="8" t="inlineStr">
        <is>
          <t>A link to another sheet, or a value produced by the Python model where Excel cannot reproduce the calculation.</t>
        </is>
      </c>
    </row>
    <row r="47">
      <c r="B47" s="25" t="inlineStr">
        <is>
          <t>Note: this file is generated by openpyxl, which writes formulas but does not calculate them. Formula cells appear blank until Excel or LibreOffice opens the workbook and recalculates. Press Ctrl+Alt+F9 to force a full rebuild.</t>
        </is>
      </c>
    </row>
    <row r="48"/>
    <row r="49"/>
  </sheetData>
  <mergeCells count="1">
    <mergeCell ref="B47:D49"/>
  </mergeCells>
  <hyperlinks>
    <hyperlink xmlns:r="http://schemas.openxmlformats.org/officeDocument/2006/relationships" ref="B33" r:id="rId1"/>
    <hyperlink xmlns:r="http://schemas.openxmlformats.org/officeDocument/2006/relationships" ref="B34" r:id="rId2"/>
    <hyperlink xmlns:r="http://schemas.openxmlformats.org/officeDocument/2006/relationships" ref="B35" r:id="rId3"/>
    <hyperlink xmlns:r="http://schemas.openxmlformats.org/officeDocument/2006/relationships" ref="B36" r:id="rId4"/>
    <hyperlink xmlns:r="http://schemas.openxmlformats.org/officeDocument/2006/relationships" ref="B37" r:id="rId5"/>
    <hyperlink xmlns:r="http://schemas.openxmlformats.org/officeDocument/2006/relationships" ref="B38" r:id="rId6"/>
    <hyperlink xmlns:r="http://schemas.openxmlformats.org/officeDocument/2006/relationships" ref="B39" r:id="rId7"/>
    <hyperlink xmlns:r="http://schemas.openxmlformats.org/officeDocument/2006/relationships" ref="B40" r:id="rId8"/>
  </hyperlinks>
  <printOptions horizontalCentered="1"/>
  <pageMargins left="0.75" right="0.75" top="1" bottom="1" header="0.5" footer="0.5"/>
  <pageSetup orientation="portrait" fitToHeight="0" fitToWidth="1"/>
  <headerFooter>
    <oddHeader/>
    <oddFooter>&amp;L&amp;8 HYPOTHETICAL TRACT, FOR PORTFOLIO PURPOSES ONLY. NOT INVESTMENT ADVICE.&amp;R&amp;8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62"/>
  <sheetViews>
    <sheetView workbookViewId="0">
      <pane ySplit="5" topLeftCell="A6" activePane="bottomLeft" state="frozen"/>
      <selection pane="bottomLeft" activeCell="A1" sqref="A1"/>
    </sheetView>
  </sheetViews>
  <sheetFormatPr baseColWidth="8" defaultRowHeight="15"/>
  <cols>
    <col width="38" customWidth="1" min="1" max="1"/>
    <col width="16" customWidth="1" min="2" max="2"/>
    <col width="26" customWidth="1" min="3" max="3"/>
    <col width="44" customWidth="1" min="4" max="4"/>
    <col width="74" customWidth="1" min="5" max="5"/>
  </cols>
  <sheetData>
    <row r="1" ht="27" customHeight="1">
      <c r="A1" s="26" t="inlineStr">
        <is>
          <t>Assumptions</t>
        </is>
      </c>
    </row>
    <row r="2">
      <c r="A2" s="27" t="inlineStr">
        <is>
          <t>One row per input. Blue on yellow cells are the only hard-coded numbers in this workbook.</t>
        </is>
      </c>
    </row>
    <row r="3">
      <c r="A3" s="28" t="inlineStr">
        <is>
          <t>HYPOTHETICAL TRACT, FOR PORTFOLIO PURPOSES ONLY. NOT INVESTMENT ADVICE.</t>
        </is>
      </c>
    </row>
    <row r="5" ht="30" customHeight="1">
      <c r="A5" s="7" t="inlineStr">
        <is>
          <t>Parameter</t>
        </is>
      </c>
      <c r="B5" s="7" t="inlineStr">
        <is>
          <t>Value</t>
        </is>
      </c>
      <c r="C5" s="7" t="inlineStr">
        <is>
          <t>Unit</t>
        </is>
      </c>
      <c r="D5" s="7" t="inlineStr">
        <is>
          <t>Source</t>
        </is>
      </c>
      <c r="E5" s="7" t="inlineStr">
        <is>
          <t>Note</t>
        </is>
      </c>
    </row>
    <row r="6">
      <c r="A6" s="29" t="inlineStr">
        <is>
          <t>Project identity</t>
        </is>
      </c>
      <c r="B6" s="30" t="n"/>
      <c r="C6" s="30" t="n"/>
      <c r="D6" s="30" t="n"/>
      <c r="E6" s="30" t="n"/>
    </row>
    <row r="7">
      <c r="A7" s="8" t="inlineStr">
        <is>
          <t>Project name</t>
        </is>
      </c>
      <c r="B7" s="31" t="inlineStr">
        <is>
          <t>Project Aspen</t>
        </is>
      </c>
      <c r="C7" s="8" t="inlineStr">
        <is>
          <t>text</t>
        </is>
      </c>
      <c r="D7" s="32" t="inlineStr">
        <is>
          <t>Illustrative assumption</t>
        </is>
      </c>
      <c r="E7" s="33" t="inlineStr">
        <is>
          <t>Internal code name for the hypothetical transaction.</t>
        </is>
      </c>
    </row>
    <row r="8">
      <c r="A8" s="8" t="inlineStr">
        <is>
          <t>Disclaimer</t>
        </is>
      </c>
      <c r="B8" s="31" t="inlineStr">
        <is>
          <t>Hypothetical, for portfolio purposes only</t>
        </is>
      </c>
      <c r="C8" s="8" t="inlineStr">
        <is>
          <t>text</t>
        </is>
      </c>
      <c r="D8" s="32" t="inlineStr">
        <is>
          <t>Illustrative assumption</t>
        </is>
      </c>
      <c r="E8" s="33" t="inlineStr">
        <is>
          <t>Printed on every deliverable so no reader mistakes this for a live deal.</t>
        </is>
      </c>
    </row>
    <row r="9">
      <c r="A9" s="8" t="inlineStr">
        <is>
          <t>Analyst</t>
        </is>
      </c>
      <c r="B9" s="31" t="inlineStr">
        <is>
          <t>Harsit Baral</t>
        </is>
      </c>
      <c r="C9" s="8" t="inlineStr">
        <is>
          <t>text</t>
        </is>
      </c>
      <c r="D9" s="32" t="inlineStr">
        <is>
          <t>Illustrative assumption</t>
        </is>
      </c>
      <c r="E9" s="33" t="inlineStr">
        <is>
          <t>Author of the analysis.</t>
        </is>
      </c>
    </row>
    <row r="10">
      <c r="A10" s="8" t="inlineStr">
        <is>
          <t>Base currency</t>
        </is>
      </c>
      <c r="B10" s="31" t="inlineStr">
        <is>
          <t>CAD</t>
        </is>
      </c>
      <c r="C10" s="8" t="inlineStr">
        <is>
          <t>text</t>
        </is>
      </c>
      <c r="D10" s="32" t="inlineStr">
        <is>
          <t>Illustrative assumption</t>
        </is>
      </c>
      <c r="E10" s="33" t="inlineStr">
        <is>
          <t>All dollar figures are real (constant) Canadian dollars unless stated otherwise.</t>
        </is>
      </c>
    </row>
    <row r="11">
      <c r="A11" s="8" t="inlineStr">
        <is>
          <t>Valuation basis</t>
        </is>
      </c>
      <c r="B11" s="31" t="inlineStr">
        <is>
          <t>Real (constant dollars)</t>
        </is>
      </c>
      <c r="C11" s="8" t="inlineStr">
        <is>
          <t>text</t>
        </is>
      </c>
      <c r="D11" s="32" t="inlineStr">
        <is>
          <t>Illustrative assumption</t>
        </is>
      </c>
      <c r="E11" s="33" t="inlineStr">
        <is>
          <t>Real cash flows discounted at a real rate; inflation nets out of both sides.</t>
        </is>
      </c>
    </row>
    <row r="12">
      <c r="A12" s="29" t="inlineStr">
        <is>
          <t>Tract: physical description</t>
        </is>
      </c>
      <c r="B12" s="30" t="n"/>
      <c r="C12" s="30" t="n"/>
      <c r="D12" s="30" t="n"/>
      <c r="E12" s="30" t="n"/>
    </row>
    <row r="13">
      <c r="A13" s="8" t="inlineStr">
        <is>
          <t>Location</t>
        </is>
      </c>
      <c r="B13" s="31" t="inlineStr">
        <is>
          <t>Boreal mixedwood, north-central Alberta</t>
        </is>
      </c>
      <c r="C13" s="8" t="inlineStr">
        <is>
          <t>text</t>
        </is>
      </c>
      <c r="D13" s="32" t="inlineStr">
        <is>
          <t>Illustrative assumption</t>
        </is>
      </c>
      <c r="E13" s="33" t="inlineStr">
        <is>
          <t>Hypothetical location chosen to make the growth and risk assumptions plausible.</t>
        </is>
      </c>
    </row>
    <row r="14">
      <c r="A14" s="8" t="inlineStr">
        <is>
          <t>Area ha</t>
        </is>
      </c>
      <c r="B14" s="34" t="n">
        <v>20000</v>
      </c>
      <c r="C14" s="8" t="inlineStr">
        <is>
          <t>hectares</t>
        </is>
      </c>
      <c r="D14" s="32" t="inlineStr">
        <is>
          <t>Illustrative assumption</t>
        </is>
      </c>
      <c r="E14" s="33" t="inlineStr">
        <is>
          <t>Total productive freehold area; assumed fully operable with road access.</t>
        </is>
      </c>
    </row>
    <row r="15">
      <c r="A15" s="8" t="inlineStr">
        <is>
          <t>Age class distribution ha</t>
        </is>
      </c>
      <c r="B15" s="31" t="inlineStr">
        <is>
          <t>see Harvest_Schedule</t>
        </is>
      </c>
      <c r="C15" s="8" t="inlineStr">
        <is>
          <t>hectares per 10-year age class</t>
        </is>
      </c>
      <c r="D15" s="32" t="inlineStr">
        <is>
          <t>Illustrative assumption</t>
        </is>
      </c>
      <c r="E15" s="33" t="inlineStr">
        <is>
          <t>Uneven and skewed to mature classes, typical of a tract with limited recent harvesting; sums to 20,000 ha.</t>
        </is>
      </c>
    </row>
    <row r="16">
      <c r="A16" s="8" t="inlineStr">
        <is>
          <t>Species mix</t>
        </is>
      </c>
      <c r="B16" s="31" t="inlineStr">
        <is>
          <t>White spruce / trembling aspen mixedwood</t>
        </is>
      </c>
      <c r="C16" s="8" t="inlineStr">
        <is>
          <t>text</t>
        </is>
      </c>
      <c r="D16" s="32" t="inlineStr">
        <is>
          <t>Illustrative assumption</t>
        </is>
      </c>
      <c r="E16" s="33" t="inlineStr">
        <is>
          <t>Drives the choice of a single aggregate yield curve rather than species-specific curves.</t>
        </is>
      </c>
    </row>
    <row r="17">
      <c r="A17" s="29" t="inlineStr">
        <is>
          <t>Growth curve (Chapman-Richards)</t>
        </is>
      </c>
      <c r="B17" s="30" t="n"/>
      <c r="C17" s="30" t="n"/>
      <c r="D17" s="30" t="n"/>
      <c r="E17" s="30" t="n"/>
    </row>
    <row r="18">
      <c r="A18" s="8" t="inlineStr">
        <is>
          <t>Chapman richards a</t>
        </is>
      </c>
      <c r="B18" s="35" t="n">
        <v>350</v>
      </c>
      <c r="C18" s="8" t="inlineStr">
        <is>
          <t>m3 per hectare</t>
        </is>
      </c>
      <c r="D18" s="32" t="inlineStr">
        <is>
          <t>Illustrative assumption</t>
        </is>
      </c>
      <c r="E18" s="33" t="inlineStr">
        <is>
          <t>Asymptotic maximum merchantable volume the stand approaches at old age.</t>
        </is>
      </c>
    </row>
    <row r="19">
      <c r="A19" s="8" t="inlineStr">
        <is>
          <t>Chapman richards b</t>
        </is>
      </c>
      <c r="B19" s="36" t="n">
        <v>0.03</v>
      </c>
      <c r="C19" s="8" t="inlineStr">
        <is>
          <t>per year</t>
        </is>
      </c>
      <c r="D19" s="32" t="inlineStr">
        <is>
          <t>Illustrative assumption</t>
        </is>
      </c>
      <c r="E19" s="33" t="inlineStr">
        <is>
          <t>Growth rate parameter; larger b means the stand approaches the asymptote sooner.</t>
        </is>
      </c>
    </row>
    <row r="20">
      <c r="A20" s="8" t="inlineStr">
        <is>
          <t>Chapman richards c</t>
        </is>
      </c>
      <c r="B20" s="37" t="n">
        <v>3</v>
      </c>
      <c r="C20" s="8" t="inlineStr">
        <is>
          <t>dimensionless</t>
        </is>
      </c>
      <c r="D20" s="32" t="inlineStr">
        <is>
          <t>Illustrative assumption</t>
        </is>
      </c>
      <c r="E20" s="33" t="inlineStr">
        <is>
          <t>Shape parameter; c &gt; 1 produces the S-curve with slow juvenile growth.</t>
        </is>
      </c>
    </row>
    <row r="21">
      <c r="A21" s="8" t="inlineStr">
        <is>
          <t>Max modelled age</t>
        </is>
      </c>
      <c r="B21" s="38" t="n">
        <v>150</v>
      </c>
      <c r="C21" s="8" t="inlineStr">
        <is>
          <t>years</t>
        </is>
      </c>
      <c r="D21" s="32" t="inlineStr">
        <is>
          <t>Illustrative assumption</t>
        </is>
      </c>
      <c r="E21" s="33" t="inlineStr">
        <is>
          <t>Upper bound for the age axis in the rotation search and the Excel growth table.</t>
        </is>
      </c>
    </row>
    <row r="22">
      <c r="A22" s="29" t="inlineStr">
        <is>
          <t>Prices and operating costs</t>
        </is>
      </c>
      <c r="B22" s="30" t="n"/>
      <c r="C22" s="30" t="n"/>
      <c r="D22" s="30" t="n"/>
      <c r="E22" s="30" t="n"/>
    </row>
    <row r="23">
      <c r="A23" s="8" t="inlineStr">
        <is>
          <t>Net stumpage price</t>
        </is>
      </c>
      <c r="B23" s="39" t="n">
        <v>48</v>
      </c>
      <c r="C23" s="8" t="inlineStr">
        <is>
          <t>CAD per m3</t>
        </is>
      </c>
      <c r="D23" s="32" t="inlineStr">
        <is>
          <t>Illustrative assumption</t>
        </is>
      </c>
      <c r="E23" s="33" t="inlineStr">
        <is>
          <t>Delivered log price net of harvest, haul and road costs, i.e. what accrues to the landowner.</t>
        </is>
      </c>
    </row>
    <row r="24">
      <c r="A24" s="8" t="inlineStr">
        <is>
          <t>Real price growth</t>
        </is>
      </c>
      <c r="B24" s="40" t="n">
        <v>0.005</v>
      </c>
      <c r="C24" s="8" t="inlineStr">
        <is>
          <t>fraction per year</t>
        </is>
      </c>
      <c r="D24" s="32" t="inlineStr">
        <is>
          <t>Illustrative assumption</t>
        </is>
      </c>
      <c r="E24" s="33" t="inlineStr">
        <is>
          <t>0.5% real annual stumpage appreciation; deliberately conservative versus long-run commodity trends.</t>
        </is>
      </c>
    </row>
    <row r="25">
      <c r="A25" s="8" t="inlineStr">
        <is>
          <t>Regeneration cost</t>
        </is>
      </c>
      <c r="B25" s="41" t="n">
        <v>400</v>
      </c>
      <c r="C25" s="8" t="inlineStr">
        <is>
          <t>CAD per hectare</t>
        </is>
      </c>
      <c r="D25" s="32" t="inlineStr">
        <is>
          <t>Illustrative assumption</t>
        </is>
      </c>
      <c r="E25" s="33" t="inlineStr">
        <is>
          <t>Site preparation, planting and early tending, charged in the year a stand is harvested.</t>
        </is>
      </c>
    </row>
    <row r="26">
      <c r="A26" s="8" t="inlineStr">
        <is>
          <t>Management cost</t>
        </is>
      </c>
      <c r="B26" s="39" t="n">
        <v>8</v>
      </c>
      <c r="C26" s="8" t="inlineStr">
        <is>
          <t>CAD per hectare per year</t>
        </is>
      </c>
      <c r="D26" s="32" t="inlineStr">
        <is>
          <t>Illustrative assumption</t>
        </is>
      </c>
      <c r="E26" s="33" t="inlineStr">
        <is>
          <t>Extensive management: property tax, roads, inventory, protection and overhead.</t>
        </is>
      </c>
    </row>
    <row r="27">
      <c r="A27" s="29" t="inlineStr">
        <is>
          <t>Transaction, discounting and harvest rules</t>
        </is>
      </c>
      <c r="B27" s="30" t="n"/>
      <c r="C27" s="30" t="n"/>
      <c r="D27" s="30" t="n"/>
      <c r="E27" s="30" t="n"/>
    </row>
    <row r="28">
      <c r="A28" s="8" t="inlineStr">
        <is>
          <t>Purchase price</t>
        </is>
      </c>
      <c r="B28" s="41" t="n">
        <v>92000000</v>
      </c>
      <c r="C28" s="8" t="inlineStr">
        <is>
          <t>CAD</t>
        </is>
      </c>
      <c r="D28" s="32" t="inlineStr">
        <is>
          <t>Illustrative assumption</t>
        </is>
      </c>
      <c r="E28" s="33" t="inlineStr">
        <is>
          <t>Assumed all-cash asking price for the tract (CAD 4,600 per hectare); the model tests whether it is justified.</t>
        </is>
      </c>
    </row>
    <row r="29">
      <c r="A29" s="8" t="inlineStr">
        <is>
          <t>Acquisition cost pct</t>
        </is>
      </c>
      <c r="B29" s="40" t="n">
        <v>0.01</v>
      </c>
      <c r="C29" s="8" t="inlineStr">
        <is>
          <t>fraction of purchase price</t>
        </is>
      </c>
      <c r="D29" s="32" t="inlineStr">
        <is>
          <t>Illustrative assumption</t>
        </is>
      </c>
      <c r="E29" s="33" t="inlineStr">
        <is>
          <t>Legal, survey, timber cruise and closing costs paid at year 0.</t>
        </is>
      </c>
    </row>
    <row r="30">
      <c r="A30" s="8" t="inlineStr">
        <is>
          <t>Real discount rate</t>
        </is>
      </c>
      <c r="B30" s="40" t="n">
        <v>0.06</v>
      </c>
      <c r="C30" s="8" t="inlineStr">
        <is>
          <t>fraction per year</t>
        </is>
      </c>
      <c r="D30" s="32" t="inlineStr">
        <is>
          <t>Illustrative assumption</t>
        </is>
      </c>
      <c r="E30" s="33" t="inlineStr">
        <is>
          <t>6.0% real unlevered discount rate for a core private timberland asset.</t>
        </is>
      </c>
    </row>
    <row r="31">
      <c r="A31" s="8" t="inlineStr">
        <is>
          <t>Hurdle rate</t>
        </is>
      </c>
      <c r="B31" s="40" t="n">
        <v>0.06</v>
      </c>
      <c r="C31" s="8" t="inlineStr">
        <is>
          <t>fraction per year</t>
        </is>
      </c>
      <c r="D31" s="32" t="inlineStr">
        <is>
          <t>Illustrative assumption</t>
        </is>
      </c>
      <c r="E31" s="33" t="inlineStr">
        <is>
          <t>Set equal to the discount rate so that NPV &gt; 0 and IRR &gt; hurdle give the same buy signal.</t>
        </is>
      </c>
    </row>
    <row r="32">
      <c r="A32" s="8" t="inlineStr">
        <is>
          <t>Holding period years</t>
        </is>
      </c>
      <c r="B32" s="38" t="n">
        <v>30</v>
      </c>
      <c r="C32" s="8" t="inlineStr">
        <is>
          <t>years</t>
        </is>
      </c>
      <c r="D32" s="32" t="inlineStr">
        <is>
          <t>Illustrative assumption</t>
        </is>
      </c>
      <c r="E32" s="33" t="inlineStr">
        <is>
          <t>Fund-style 30-year hold, after which the tract is assumed sold.</t>
        </is>
      </c>
    </row>
    <row r="33">
      <c r="A33" s="8" t="inlineStr">
        <is>
          <t>Even flow tolerance</t>
        </is>
      </c>
      <c r="B33" s="42" t="n">
        <v>0.15</v>
      </c>
      <c r="C33" s="8" t="inlineStr">
        <is>
          <t>fraction of mean annual harvest</t>
        </is>
      </c>
      <c r="D33" s="32" t="inlineStr">
        <is>
          <t>Illustrative assumption</t>
        </is>
      </c>
      <c r="E33" s="33" t="inlineStr">
        <is>
          <t>Annual harvest must stay within +/-15% of the 30-year average, mimicking a mill supply agreement.</t>
        </is>
      </c>
    </row>
    <row r="34">
      <c r="A34" s="8" t="inlineStr">
        <is>
          <t>Min harvest age</t>
        </is>
      </c>
      <c r="B34" s="38" t="n">
        <v>20</v>
      </c>
      <c r="C34" s="8" t="inlineStr">
        <is>
          <t>years</t>
        </is>
      </c>
      <c r="D34" s="32" t="inlineStr">
        <is>
          <t>Illustrative assumption</t>
        </is>
      </c>
      <c r="E34" s="33" t="inlineStr">
        <is>
          <t>Floor on merchantability: stands younger than this are never cut, even to defend the even-flow target.</t>
        </is>
      </c>
    </row>
    <row r="35">
      <c r="A35" s="8" t="inlineStr">
        <is>
          <t>Min ending inventory multiple</t>
        </is>
      </c>
      <c r="B35" s="43" t="n">
        <v>1</v>
      </c>
      <c r="C35" s="8" t="inlineStr">
        <is>
          <t>multiple of regulated growing stock</t>
        </is>
      </c>
      <c r="D35" s="32" t="inlineStr">
        <is>
          <t>Illustrative assumption</t>
        </is>
      </c>
      <c r="E35" s="33" t="inlineStr">
        <is>
          <t>Standing volume at exit must be at least the growing stock of a fully regulated forest, so the buyer inherits a going concern rather than cut-over land.</t>
        </is>
      </c>
    </row>
    <row r="36">
      <c r="A36" s="8" t="inlineStr">
        <is>
          <t>Disposition cost pct</t>
        </is>
      </c>
      <c r="B36" s="40" t="n">
        <v>0.015</v>
      </c>
      <c r="C36" s="8" t="inlineStr">
        <is>
          <t>fraction of terminal value</t>
        </is>
      </c>
      <c r="D36" s="32" t="inlineStr">
        <is>
          <t>Illustrative assumption</t>
        </is>
      </c>
      <c r="E36" s="33" t="inlineStr">
        <is>
          <t>Brokerage and closing costs deducted from the exit proceeds.</t>
        </is>
      </c>
    </row>
    <row r="37">
      <c r="A37" s="8" t="inlineStr">
        <is>
          <t>Terminal value method</t>
        </is>
      </c>
      <c r="B37" s="31" t="inlineStr">
        <is>
          <t>Bare land expectation value plus discounted value of standing inventory</t>
        </is>
      </c>
      <c r="C37" s="8" t="inlineStr">
        <is>
          <t>text</t>
        </is>
      </c>
      <c r="D37" s="32" t="inlineStr">
        <is>
          <t>Illustrative assumption</t>
        </is>
      </c>
      <c r="E37" s="33" t="inlineStr">
        <is>
          <t>Exit priced as a rational buyer would: perpetual land value plus the timber standing on it at year 30.</t>
        </is>
      </c>
    </row>
    <row r="38">
      <c r="A38" s="29" t="inlineStr">
        <is>
          <t>Monte Carlo risk parameters</t>
        </is>
      </c>
      <c r="B38" s="30" t="n"/>
      <c r="C38" s="30" t="n"/>
      <c r="D38" s="30" t="n"/>
      <c r="E38" s="30" t="n"/>
    </row>
    <row r="39">
      <c r="A39" s="8" t="inlineStr">
        <is>
          <t>N simulations</t>
        </is>
      </c>
      <c r="B39" s="44" t="n">
        <v>10000</v>
      </c>
      <c r="C39" s="8" t="inlineStr">
        <is>
          <t>paths</t>
        </is>
      </c>
      <c r="D39" s="32" t="inlineStr">
        <is>
          <t>Illustrative assumption</t>
        </is>
      </c>
      <c r="E39" s="33" t="inlineStr">
        <is>
          <t>Enough paths that the reported percentiles are stable to roughly 0.1 percentage points of IRR.</t>
        </is>
      </c>
    </row>
    <row r="40">
      <c r="A40" s="8" t="inlineStr">
        <is>
          <t>Random seed</t>
        </is>
      </c>
      <c r="B40" s="45" t="n">
        <v>42</v>
      </c>
      <c r="C40" s="8" t="inlineStr">
        <is>
          <t>integer</t>
        </is>
      </c>
      <c r="D40" s="32" t="inlineStr">
        <is>
          <t>Illustrative assumption</t>
        </is>
      </c>
      <c r="E40" s="33" t="inlineStr">
        <is>
          <t>Fixed so every rerun of run_all.py reproduces the published numbers exactly.</t>
        </is>
      </c>
    </row>
    <row r="41">
      <c r="A41" s="8" t="inlineStr">
        <is>
          <t>Price volatility</t>
        </is>
      </c>
      <c r="B41" s="42" t="n">
        <v>0.22</v>
      </c>
      <c r="C41" s="8" t="inlineStr">
        <is>
          <t>annual standard deviation of log price</t>
        </is>
      </c>
      <c r="D41" s="32" t="inlineStr">
        <is>
          <t>Illustrative assumption</t>
        </is>
      </c>
      <c r="E41" s="33" t="inlineStr">
        <is>
          <t>22% annual volatility, in the range historically shown by North American sawlog and lumber prices.</t>
        </is>
      </c>
    </row>
    <row r="42">
      <c r="A42" s="8" t="inlineStr">
        <is>
          <t>Mean reversion speed</t>
        </is>
      </c>
      <c r="B42" s="43" t="n">
        <v>0.25</v>
      </c>
      <c r="C42" s="8" t="inlineStr">
        <is>
          <t>per year</t>
        </is>
      </c>
      <c r="D42" s="32" t="inlineStr">
        <is>
          <t>Illustrative assumption</t>
        </is>
      </c>
      <c r="E42" s="33" t="inlineStr">
        <is>
          <t>Ornstein-Uhlenbeck kappa; a price shock decays with a half-life of about 2.8 years.</t>
        </is>
      </c>
    </row>
    <row r="43">
      <c r="A43" s="8" t="inlineStr">
        <is>
          <t>Disturbance probability</t>
        </is>
      </c>
      <c r="B43" s="40" t="n">
        <v>0.02</v>
      </c>
      <c r="C43" s="8" t="inlineStr">
        <is>
          <t>fraction per year</t>
        </is>
      </c>
      <c r="D43" s="32" t="inlineStr">
        <is>
          <t>Illustrative assumption</t>
        </is>
      </c>
      <c r="E43" s="33" t="inlineStr">
        <is>
          <t>Annual chance of a stand-replacing wildfire or pest outbreak somewhere on the tract.</t>
        </is>
      </c>
    </row>
    <row r="44">
      <c r="A44" s="8" t="inlineStr">
        <is>
          <t>Disturbance severity mean</t>
        </is>
      </c>
      <c r="B44" s="42" t="n">
        <v>0.06</v>
      </c>
      <c r="C44" s="8" t="inlineStr">
        <is>
          <t>fraction of standing volume destroyed</t>
        </is>
      </c>
      <c r="D44" s="32" t="inlineStr">
        <is>
          <t>Illustrative assumption</t>
        </is>
      </c>
      <c r="E44" s="33" t="inlineStr">
        <is>
          <t>Mean share of inventory lost when an event occurs; drawn from a Beta distribution, so severity varies.</t>
        </is>
      </c>
    </row>
    <row r="45">
      <c r="A45" s="8" t="inlineStr">
        <is>
          <t>Disturbance severity concentration</t>
        </is>
      </c>
      <c r="B45" s="37" t="n">
        <v>25</v>
      </c>
      <c r="C45" s="8" t="inlineStr">
        <is>
          <t>dimensionless</t>
        </is>
      </c>
      <c r="D45" s="32" t="inlineStr">
        <is>
          <t>Illustrative assumption</t>
        </is>
      </c>
      <c r="E45" s="33" t="inlineStr">
        <is>
          <t>Beta concentration; set so the median event burns about 5% of the tract and a 1-in-100 event about 21%, rather than producing implausible whole-tract losses.</t>
        </is>
      </c>
    </row>
    <row r="46">
      <c r="A46" s="8" t="inlineStr">
        <is>
          <t>Flexible band usage</t>
        </is>
      </c>
      <c r="B46" s="43" t="n">
        <v>1</v>
      </c>
      <c r="C46" s="8" t="inlineStr">
        <is>
          <t>fraction of the even-flow band</t>
        </is>
      </c>
      <c r="D46" s="32" t="inlineStr">
        <is>
          <t>Illustrative assumption</t>
        </is>
      </c>
      <c r="E46" s="33" t="inlineStr">
        <is>
          <t>How much of the permitted +/-15% latitude the flexible strategy uses; 1.0 means it swings to the full band edge, cutting less when prices are weak and more when they are strong.</t>
        </is>
      </c>
    </row>
    <row r="47">
      <c r="A47" s="29" t="inlineStr">
        <is>
          <t>Carbon upside scenario</t>
        </is>
      </c>
      <c r="B47" s="30" t="n"/>
      <c r="C47" s="30" t="n"/>
      <c r="D47" s="30" t="n"/>
      <c r="E47" s="30" t="n"/>
    </row>
    <row r="48">
      <c r="A48" s="8" t="inlineStr">
        <is>
          <t>Enabled</t>
        </is>
      </c>
      <c r="B48" s="22" t="b">
        <v>0</v>
      </c>
      <c r="C48" s="8" t="inlineStr">
        <is>
          <t>boolean</t>
        </is>
      </c>
      <c r="D48" s="32" t="inlineStr">
        <is>
          <t>Illustrative assumption</t>
        </is>
      </c>
      <c r="E48" s="33" t="inlineStr">
        <is>
          <t>Off in the base case; the base recommendation must stand on timber economics alone.</t>
        </is>
      </c>
    </row>
    <row r="49">
      <c r="A49" s="8" t="inlineStr">
        <is>
          <t>Price per tonne</t>
        </is>
      </c>
      <c r="B49" s="39" t="n">
        <v>65</v>
      </c>
      <c r="C49" s="8" t="inlineStr">
        <is>
          <t>CAD per tonne CO2e</t>
        </is>
      </c>
      <c r="D49" s="32" t="inlineStr">
        <is>
          <t>Illustrative assumption</t>
        </is>
      </c>
      <c r="E49" s="33" t="inlineStr">
        <is>
          <t>Assumed net price received for a verified removal credit, after verification and registry fees.</t>
        </is>
      </c>
    </row>
    <row r="50">
      <c r="A50" s="8" t="inlineStr">
        <is>
          <t>Sequestration rate</t>
        </is>
      </c>
      <c r="B50" s="46" t="n">
        <v>3</v>
      </c>
      <c r="C50" s="8" t="inlineStr">
        <is>
          <t>tonnes CO2e per hectare per year</t>
        </is>
      </c>
      <c r="D50" s="32" t="inlineStr">
        <is>
          <t>Illustrative assumption</t>
        </is>
      </c>
      <c r="E50" s="33" t="inlineStr">
        <is>
          <t>Net creditable sequestration on the unharvested area; deliberately below gross biological uptake.</t>
        </is>
      </c>
    </row>
    <row r="51">
      <c r="A51" s="8" t="inlineStr">
        <is>
          <t>Eligible area fraction</t>
        </is>
      </c>
      <c r="B51" s="42" t="n">
        <v>0.5</v>
      </c>
      <c r="C51" s="8" t="inlineStr">
        <is>
          <t>fraction of tract area</t>
        </is>
      </c>
      <c r="D51" s="32" t="inlineStr">
        <is>
          <t>Illustrative assumption</t>
        </is>
      </c>
      <c r="E51" s="33" t="inlineStr">
        <is>
          <t>Share of the tract assumed to qualify for a credited improved-forest-management project.</t>
        </is>
      </c>
    </row>
    <row r="52">
      <c r="A52" s="29" t="inlineStr">
        <is>
          <t>Market analysis inputs</t>
        </is>
      </c>
      <c r="B52" s="30" t="n"/>
      <c r="C52" s="30" t="n"/>
      <c r="D52" s="30" t="n"/>
      <c r="E52" s="30" t="n"/>
    </row>
    <row r="53">
      <c r="A53" s="8" t="inlineStr">
        <is>
          <t>Timber proxies</t>
        </is>
      </c>
      <c r="B53" s="31" t="inlineStr">
        <is>
          <t>WY, RYN, ADN.TO</t>
        </is>
      </c>
      <c r="C53" s="8" t="inlineStr">
        <is>
          <t>Yahoo Finance tickers</t>
        </is>
      </c>
      <c r="D53" s="8" t="inlineStr">
        <is>
          <t>Yahoo Finance via the yfinance package</t>
        </is>
      </c>
      <c r="E53" s="33" t="inlineStr">
        <is>
          <t>Listed timberland owners used as public proxies. PCH (PotlatchDeltic) was the third proxy originally but no longer returns quotes after its combination with Rayonier, so Acadian Timber (ADN.TO) replaces it and has the advantage of being Canadian.</t>
        </is>
      </c>
    </row>
    <row r="54">
      <c r="A54" s="8" t="inlineStr">
        <is>
          <t>Farmland proxies</t>
        </is>
      </c>
      <c r="B54" s="31" t="inlineStr">
        <is>
          <t>LAND, FPI</t>
        </is>
      </c>
      <c r="C54" s="8" t="inlineStr">
        <is>
          <t>Yahoo Finance tickers</t>
        </is>
      </c>
      <c r="D54" s="8" t="inlineStr">
        <is>
          <t>Yahoo Finance via the yfinance package</t>
        </is>
      </c>
      <c r="E54" s="33" t="inlineStr">
        <is>
          <t>Listed farmland REITs; the farmland half of a renewable resources mandate.</t>
        </is>
      </c>
    </row>
    <row r="55">
      <c r="A55" s="8" t="inlineStr">
        <is>
          <t>Equity benchmarks</t>
        </is>
      </c>
      <c r="B55" s="31" t="inlineStr">
        <is>
          <t>^GSPTSE, ^GSPC</t>
        </is>
      </c>
      <c r="C55" s="8" t="inlineStr">
        <is>
          <t>Yahoo Finance tickers</t>
        </is>
      </c>
      <c r="D55" s="8" t="inlineStr">
        <is>
          <t>Yahoo Finance via the yfinance package</t>
        </is>
      </c>
      <c r="E55" s="33" t="inlineStr">
        <is>
          <t>S&amp;P/TSX Composite and S&amp;P 500 as the traditional equity comparison.</t>
        </is>
      </c>
    </row>
    <row r="56">
      <c r="A56" s="8" t="inlineStr">
        <is>
          <t>Bond proxy</t>
        </is>
      </c>
      <c r="B56" s="31" t="inlineStr">
        <is>
          <t>XBB.TO</t>
        </is>
      </c>
      <c r="C56" s="8" t="inlineStr">
        <is>
          <t>Yahoo Finance ticker</t>
        </is>
      </c>
      <c r="D56" s="8" t="inlineStr">
        <is>
          <t>Yahoo Finance via the yfinance package</t>
        </is>
      </c>
      <c r="E56" s="33" t="inlineStr">
        <is>
          <t>iShares Core Canadian Universe Bond Index ETF; AGG is used if XBB.TO returns no data.</t>
        </is>
      </c>
    </row>
    <row r="57">
      <c r="A57" s="8" t="inlineStr">
        <is>
          <t>Bond proxy fallback</t>
        </is>
      </c>
      <c r="B57" s="31" t="inlineStr">
        <is>
          <t>AGG</t>
        </is>
      </c>
      <c r="C57" s="8" t="inlineStr">
        <is>
          <t>Yahoo Finance ticker</t>
        </is>
      </c>
      <c r="D57" s="8" t="inlineStr">
        <is>
          <t>Yahoo Finance via the yfinance package</t>
        </is>
      </c>
      <c r="E57" s="33" t="inlineStr">
        <is>
          <t>US aggregate bond ETF, used only if the Canadian series is unavailable.</t>
        </is>
      </c>
    </row>
    <row r="58">
      <c r="A58" s="8" t="inlineStr">
        <is>
          <t>Rolling window months</t>
        </is>
      </c>
      <c r="B58" s="45" t="n">
        <v>36</v>
      </c>
      <c r="C58" s="8" t="inlineStr">
        <is>
          <t>months</t>
        </is>
      </c>
      <c r="D58" s="32" t="inlineStr">
        <is>
          <t>Illustrative assumption</t>
        </is>
      </c>
      <c r="E58" s="33" t="inlineStr">
        <is>
          <t>Standard three-year window for rolling correlation; long enough to be stable, short enough to show regime shifts.</t>
        </is>
      </c>
    </row>
    <row r="59">
      <c r="A59" s="8" t="inlineStr">
        <is>
          <t>Cpi primary table</t>
        </is>
      </c>
      <c r="B59" s="31" t="inlineStr">
        <is>
          <t>18-10-0004-01</t>
        </is>
      </c>
      <c r="C59" s="8" t="inlineStr">
        <is>
          <t>Statistics Canada table number</t>
        </is>
      </c>
      <c r="D59" s="8" t="inlineStr">
        <is>
          <t>Statistics Canada table 18-10-0004-01, Consumer Price Index, monthly</t>
        </is>
      </c>
      <c r="E59" s="33" t="inlineStr">
        <is>
          <t>Primary inflation series, retrieved through the stats_can package.</t>
        </is>
      </c>
    </row>
    <row r="60">
      <c r="A60" s="8" t="inlineStr">
        <is>
          <t>Cpi fallback series</t>
        </is>
      </c>
      <c r="B60" s="31" t="inlineStr">
        <is>
          <t>CPIAUCSL</t>
        </is>
      </c>
      <c r="C60" s="8" t="inlineStr">
        <is>
          <t>FRED series ID</t>
        </is>
      </c>
      <c r="D60" s="8" t="inlineStr">
        <is>
          <t>U.S. Bureau of Labor Statistics via FRED series CPIAUCSL</t>
        </is>
      </c>
      <c r="E60" s="33" t="inlineStr">
        <is>
          <t>US CPI, used only if the Statistics Canada request fails; the deliverables state which source was used.</t>
        </is>
      </c>
    </row>
    <row r="62">
      <c r="A62" s="47" t="inlineStr">
        <is>
          <t>Illustrative assumptions shown in orange are invented for this exercise and must be replaced with sourced data before any real use.</t>
        </is>
      </c>
    </row>
  </sheetData>
  <mergeCells count="3">
    <mergeCell ref="A2:E2"/>
    <mergeCell ref="A1:E1"/>
    <mergeCell ref="A3:E3"/>
  </mergeCells>
  <printOptions horizontalCentered="1"/>
  <pageMargins left="0.75" right="0.75" top="1" bottom="1" header="0.5" footer="0.5"/>
  <pageSetup orientation="landscape" fitToHeight="0" fitToWidth="1"/>
  <headerFooter>
    <oddHeader/>
    <oddFooter>&amp;L&amp;8 HYPOTHETICAL TRACT, FOR PORTFOLIO PURPOSES ONLY. NOT INVESTMENT ADVICE.&amp;R&amp;8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161"/>
  <sheetViews>
    <sheetView workbookViewId="0">
      <pane ySplit="11" topLeftCell="A12" activePane="bottomLeft" state="frozen"/>
      <selection pane="bottomLeft" activeCell="A1" sqref="A1"/>
    </sheetView>
  </sheetViews>
  <sheetFormatPr baseColWidth="8" defaultRowHeight="15"/>
  <cols>
    <col width="11" customWidth="1" min="1" max="1"/>
    <col width="20" customWidth="1" min="2" max="2"/>
    <col width="17" customWidth="1" min="3" max="3"/>
    <col width="17" customWidth="1" min="4" max="4"/>
    <col width="16" customWidth="1" min="5" max="5"/>
    <col width="24" customWidth="1" min="6" max="6"/>
  </cols>
  <sheetData>
    <row r="1" ht="27" customHeight="1">
      <c r="A1" s="26" t="inlineStr">
        <is>
          <t>Growth and optimal rotation</t>
        </is>
      </c>
    </row>
    <row r="2">
      <c r="A2" s="27" t="inlineStr">
        <is>
          <t>Chapman-Richards yield curve. Every cell below is a formula reading the Assumptions sheet: change an input there and the optimum moves.</t>
        </is>
      </c>
    </row>
    <row r="3">
      <c r="A3" s="28" t="inlineStr">
        <is>
          <t>HYPOTHETICAL TRACT, FOR PORTFOLIO PURPOSES ONLY. NOT INVESTMENT ADVICE.</t>
        </is>
      </c>
    </row>
    <row r="5">
      <c r="A5" s="48" t="inlineStr">
        <is>
          <t>Rotation criteria</t>
        </is>
      </c>
    </row>
    <row r="6" ht="30" customHeight="1">
      <c r="A6" s="7" t="inlineStr">
        <is>
          <t>Criterion</t>
        </is>
      </c>
      <c r="B6" s="7" t="inlineStr">
        <is>
          <t>Age (yrs)</t>
        </is>
      </c>
      <c r="C6" s="7" t="inlineStr">
        <is>
          <t>Value</t>
        </is>
      </c>
      <c r="D6" s="7" t="inlineStr">
        <is>
          <t>What it maximises</t>
        </is>
      </c>
    </row>
    <row r="7">
      <c r="A7" s="8" t="inlineStr">
        <is>
          <t>Maximum mean annual increment</t>
        </is>
      </c>
      <c r="B7" s="49">
        <f>INDEX($A$12:$A$161,MATCH(MAX($C$12:$C$161),$C$12:$C$161,0))</f>
        <v/>
      </c>
      <c r="C7" s="50">
        <f>MAX($C$12:$C$161)</f>
        <v/>
      </c>
      <c r="D7" s="8" t="inlineStr">
        <is>
          <t>Volume per year, V(T)/T. Ignores money entirely.</t>
        </is>
      </c>
    </row>
    <row r="8">
      <c r="A8" s="8" t="inlineStr">
        <is>
          <t>Single rotation NPV (Fisher)</t>
        </is>
      </c>
      <c r="B8" s="49">
        <f>INDEX($A$12:$A$161,MATCH(MAX($F$12:$F$161),$F$12:$F$161,0))</f>
        <v/>
      </c>
      <c r="C8" s="51">
        <f>MAX($F$12:$F$161)</f>
        <v/>
      </c>
      <c r="D8" s="8" t="inlineStr">
        <is>
          <t>Discounted profit of one rotation. Counts interest, not land.</t>
        </is>
      </c>
    </row>
    <row r="9">
      <c r="A9" s="52" t="inlineStr">
        <is>
          <t>Faustmann (land expectation value)</t>
        </is>
      </c>
      <c r="B9" s="53">
        <f>INDEX($A$12:$A$161,MATCH(MAX($E$12:$E$161),$E$12:$E$161,0))</f>
        <v/>
      </c>
      <c r="C9" s="54">
        <f>MAX($E$12:$E$161)</f>
        <v/>
      </c>
      <c r="D9" s="8" t="inlineStr">
        <is>
          <t>Value of the bare land in perpetuity. Counts the opportunity cost of delaying every future rotation, so it is the shortest.</t>
        </is>
      </c>
    </row>
    <row r="10">
      <c r="A10" s="48" t="inlineStr">
        <is>
          <t>Rotation used in the cash flow model</t>
        </is>
      </c>
      <c r="B10" s="55">
        <f>B9</f>
        <v/>
      </c>
    </row>
    <row r="11" ht="30" customHeight="1">
      <c r="A11" s="7" t="inlineStr">
        <is>
          <t>Age (yrs)</t>
        </is>
      </c>
      <c r="B11" s="7" t="inlineStr">
        <is>
          <t>Volume V(T) (m³/ha)</t>
        </is>
      </c>
      <c r="C11" s="7" t="inlineStr">
        <is>
          <t>MAI (m³/ha/yr)</t>
        </is>
      </c>
      <c r="D11" s="7" t="inlineStr">
        <is>
          <t>CAI (m³/ha/yr)</t>
        </is>
      </c>
      <c r="E11" s="7" t="inlineStr">
        <is>
          <t>LEV ($/ha)</t>
        </is>
      </c>
      <c r="F11" s="7" t="inlineStr">
        <is>
          <t>Single-rotation NPV ($/ha)</t>
        </is>
      </c>
    </row>
    <row r="12">
      <c r="A12" s="56" t="n">
        <v>1</v>
      </c>
      <c r="B12" s="57">
        <f>CR_a*(1-EXP(-CR_b*$A12))^CR_c</f>
        <v/>
      </c>
      <c r="C12" s="57">
        <f>$B12/$A12</f>
        <v/>
      </c>
      <c r="D12" s="57">
        <f>CR_a*CR_b*CR_c*(1-EXP(-CR_b*$A12))^(CR_c-1)*EXP(-CR_b*$A12)</f>
        <v/>
      </c>
      <c r="E12" s="57">
        <f>IF($A12&lt;2,"",(Stumpage*$B12-RegenCost*(1+DiscRate)^$A12)/((1+DiscRate)^$A12-1)-MgmtCost/DiscRate)</f>
        <v/>
      </c>
      <c r="F12" s="57">
        <f>Stumpage*$B12/(1+DiscRate)^$A12-RegenCost-MgmtCost*(1-(1+DiscRate)^-$A12)/DiscRate</f>
        <v/>
      </c>
    </row>
    <row r="13">
      <c r="A13" s="56" t="n">
        <v>2</v>
      </c>
      <c r="B13" s="57">
        <f>CR_a*(1-EXP(-CR_b*$A13))^CR_c</f>
        <v/>
      </c>
      <c r="C13" s="57">
        <f>$B13/$A13</f>
        <v/>
      </c>
      <c r="D13" s="57">
        <f>CR_a*CR_b*CR_c*(1-EXP(-CR_b*$A13))^(CR_c-1)*EXP(-CR_b*$A13)</f>
        <v/>
      </c>
      <c r="E13" s="57">
        <f>IF($A13&lt;2,"",(Stumpage*$B13-RegenCost*(1+DiscRate)^$A13)/((1+DiscRate)^$A13-1)-MgmtCost/DiscRate)</f>
        <v/>
      </c>
      <c r="F13" s="57">
        <f>Stumpage*$B13/(1+DiscRate)^$A13-RegenCost-MgmtCost*(1-(1+DiscRate)^-$A13)/DiscRate</f>
        <v/>
      </c>
    </row>
    <row r="14">
      <c r="A14" s="56" t="n">
        <v>3</v>
      </c>
      <c r="B14" s="57">
        <f>CR_a*(1-EXP(-CR_b*$A14))^CR_c</f>
        <v/>
      </c>
      <c r="C14" s="57">
        <f>$B14/$A14</f>
        <v/>
      </c>
      <c r="D14" s="57">
        <f>CR_a*CR_b*CR_c*(1-EXP(-CR_b*$A14))^(CR_c-1)*EXP(-CR_b*$A14)</f>
        <v/>
      </c>
      <c r="E14" s="57">
        <f>IF($A14&lt;2,"",(Stumpage*$B14-RegenCost*(1+DiscRate)^$A14)/((1+DiscRate)^$A14-1)-MgmtCost/DiscRate)</f>
        <v/>
      </c>
      <c r="F14" s="57">
        <f>Stumpage*$B14/(1+DiscRate)^$A14-RegenCost-MgmtCost*(1-(1+DiscRate)^-$A14)/DiscRate</f>
        <v/>
      </c>
    </row>
    <row r="15">
      <c r="A15" s="56" t="n">
        <v>4</v>
      </c>
      <c r="B15" s="57">
        <f>CR_a*(1-EXP(-CR_b*$A15))^CR_c</f>
        <v/>
      </c>
      <c r="C15" s="57">
        <f>$B15/$A15</f>
        <v/>
      </c>
      <c r="D15" s="57">
        <f>CR_a*CR_b*CR_c*(1-EXP(-CR_b*$A15))^(CR_c-1)*EXP(-CR_b*$A15)</f>
        <v/>
      </c>
      <c r="E15" s="57">
        <f>IF($A15&lt;2,"",(Stumpage*$B15-RegenCost*(1+DiscRate)^$A15)/((1+DiscRate)^$A15-1)-MgmtCost/DiscRate)</f>
        <v/>
      </c>
      <c r="F15" s="57">
        <f>Stumpage*$B15/(1+DiscRate)^$A15-RegenCost-MgmtCost*(1-(1+DiscRate)^-$A15)/DiscRate</f>
        <v/>
      </c>
    </row>
    <row r="16">
      <c r="A16" s="56" t="n">
        <v>5</v>
      </c>
      <c r="B16" s="57">
        <f>CR_a*(1-EXP(-CR_b*$A16))^CR_c</f>
        <v/>
      </c>
      <c r="C16" s="57">
        <f>$B16/$A16</f>
        <v/>
      </c>
      <c r="D16" s="57">
        <f>CR_a*CR_b*CR_c*(1-EXP(-CR_b*$A16))^(CR_c-1)*EXP(-CR_b*$A16)</f>
        <v/>
      </c>
      <c r="E16" s="57">
        <f>IF($A16&lt;2,"",(Stumpage*$B16-RegenCost*(1+DiscRate)^$A16)/((1+DiscRate)^$A16-1)-MgmtCost/DiscRate)</f>
        <v/>
      </c>
      <c r="F16" s="57">
        <f>Stumpage*$B16/(1+DiscRate)^$A16-RegenCost-MgmtCost*(1-(1+DiscRate)^-$A16)/DiscRate</f>
        <v/>
      </c>
    </row>
    <row r="17">
      <c r="A17" s="56" t="n">
        <v>6</v>
      </c>
      <c r="B17" s="57">
        <f>CR_a*(1-EXP(-CR_b*$A17))^CR_c</f>
        <v/>
      </c>
      <c r="C17" s="57">
        <f>$B17/$A17</f>
        <v/>
      </c>
      <c r="D17" s="57">
        <f>CR_a*CR_b*CR_c*(1-EXP(-CR_b*$A17))^(CR_c-1)*EXP(-CR_b*$A17)</f>
        <v/>
      </c>
      <c r="E17" s="57">
        <f>IF($A17&lt;2,"",(Stumpage*$B17-RegenCost*(1+DiscRate)^$A17)/((1+DiscRate)^$A17-1)-MgmtCost/DiscRate)</f>
        <v/>
      </c>
      <c r="F17" s="57">
        <f>Stumpage*$B17/(1+DiscRate)^$A17-RegenCost-MgmtCost*(1-(1+DiscRate)^-$A17)/DiscRate</f>
        <v/>
      </c>
    </row>
    <row r="18">
      <c r="A18" s="56" t="n">
        <v>7</v>
      </c>
      <c r="B18" s="57">
        <f>CR_a*(1-EXP(-CR_b*$A18))^CR_c</f>
        <v/>
      </c>
      <c r="C18" s="57">
        <f>$B18/$A18</f>
        <v/>
      </c>
      <c r="D18" s="57">
        <f>CR_a*CR_b*CR_c*(1-EXP(-CR_b*$A18))^(CR_c-1)*EXP(-CR_b*$A18)</f>
        <v/>
      </c>
      <c r="E18" s="57">
        <f>IF($A18&lt;2,"",(Stumpage*$B18-RegenCost*(1+DiscRate)^$A18)/((1+DiscRate)^$A18-1)-MgmtCost/DiscRate)</f>
        <v/>
      </c>
      <c r="F18" s="57">
        <f>Stumpage*$B18/(1+DiscRate)^$A18-RegenCost-MgmtCost*(1-(1+DiscRate)^-$A18)/DiscRate</f>
        <v/>
      </c>
    </row>
    <row r="19">
      <c r="A19" s="56" t="n">
        <v>8</v>
      </c>
      <c r="B19" s="57">
        <f>CR_a*(1-EXP(-CR_b*$A19))^CR_c</f>
        <v/>
      </c>
      <c r="C19" s="57">
        <f>$B19/$A19</f>
        <v/>
      </c>
      <c r="D19" s="57">
        <f>CR_a*CR_b*CR_c*(1-EXP(-CR_b*$A19))^(CR_c-1)*EXP(-CR_b*$A19)</f>
        <v/>
      </c>
      <c r="E19" s="57">
        <f>IF($A19&lt;2,"",(Stumpage*$B19-RegenCost*(1+DiscRate)^$A19)/((1+DiscRate)^$A19-1)-MgmtCost/DiscRate)</f>
        <v/>
      </c>
      <c r="F19" s="57">
        <f>Stumpage*$B19/(1+DiscRate)^$A19-RegenCost-MgmtCost*(1-(1+DiscRate)^-$A19)/DiscRate</f>
        <v/>
      </c>
    </row>
    <row r="20">
      <c r="A20" s="56" t="n">
        <v>9</v>
      </c>
      <c r="B20" s="57">
        <f>CR_a*(1-EXP(-CR_b*$A20))^CR_c</f>
        <v/>
      </c>
      <c r="C20" s="57">
        <f>$B20/$A20</f>
        <v/>
      </c>
      <c r="D20" s="57">
        <f>CR_a*CR_b*CR_c*(1-EXP(-CR_b*$A20))^(CR_c-1)*EXP(-CR_b*$A20)</f>
        <v/>
      </c>
      <c r="E20" s="57">
        <f>IF($A20&lt;2,"",(Stumpage*$B20-RegenCost*(1+DiscRate)^$A20)/((1+DiscRate)^$A20-1)-MgmtCost/DiscRate)</f>
        <v/>
      </c>
      <c r="F20" s="57">
        <f>Stumpage*$B20/(1+DiscRate)^$A20-RegenCost-MgmtCost*(1-(1+DiscRate)^-$A20)/DiscRate</f>
        <v/>
      </c>
    </row>
    <row r="21">
      <c r="A21" s="56" t="n">
        <v>10</v>
      </c>
      <c r="B21" s="57">
        <f>CR_a*(1-EXP(-CR_b*$A21))^CR_c</f>
        <v/>
      </c>
      <c r="C21" s="57">
        <f>$B21/$A21</f>
        <v/>
      </c>
      <c r="D21" s="57">
        <f>CR_a*CR_b*CR_c*(1-EXP(-CR_b*$A21))^(CR_c-1)*EXP(-CR_b*$A21)</f>
        <v/>
      </c>
      <c r="E21" s="57">
        <f>IF($A21&lt;2,"",(Stumpage*$B21-RegenCost*(1+DiscRate)^$A21)/((1+DiscRate)^$A21-1)-MgmtCost/DiscRate)</f>
        <v/>
      </c>
      <c r="F21" s="57">
        <f>Stumpage*$B21/(1+DiscRate)^$A21-RegenCost-MgmtCost*(1-(1+DiscRate)^-$A21)/DiscRate</f>
        <v/>
      </c>
    </row>
    <row r="22">
      <c r="A22" s="56" t="n">
        <v>11</v>
      </c>
      <c r="B22" s="57">
        <f>CR_a*(1-EXP(-CR_b*$A22))^CR_c</f>
        <v/>
      </c>
      <c r="C22" s="57">
        <f>$B22/$A22</f>
        <v/>
      </c>
      <c r="D22" s="57">
        <f>CR_a*CR_b*CR_c*(1-EXP(-CR_b*$A22))^(CR_c-1)*EXP(-CR_b*$A22)</f>
        <v/>
      </c>
      <c r="E22" s="57">
        <f>IF($A22&lt;2,"",(Stumpage*$B22-RegenCost*(1+DiscRate)^$A22)/((1+DiscRate)^$A22-1)-MgmtCost/DiscRate)</f>
        <v/>
      </c>
      <c r="F22" s="57">
        <f>Stumpage*$B22/(1+DiscRate)^$A22-RegenCost-MgmtCost*(1-(1+DiscRate)^-$A22)/DiscRate</f>
        <v/>
      </c>
    </row>
    <row r="23">
      <c r="A23" s="56" t="n">
        <v>12</v>
      </c>
      <c r="B23" s="57">
        <f>CR_a*(1-EXP(-CR_b*$A23))^CR_c</f>
        <v/>
      </c>
      <c r="C23" s="57">
        <f>$B23/$A23</f>
        <v/>
      </c>
      <c r="D23" s="57">
        <f>CR_a*CR_b*CR_c*(1-EXP(-CR_b*$A23))^(CR_c-1)*EXP(-CR_b*$A23)</f>
        <v/>
      </c>
      <c r="E23" s="57">
        <f>IF($A23&lt;2,"",(Stumpage*$B23-RegenCost*(1+DiscRate)^$A23)/((1+DiscRate)^$A23-1)-MgmtCost/DiscRate)</f>
        <v/>
      </c>
      <c r="F23" s="57">
        <f>Stumpage*$B23/(1+DiscRate)^$A23-RegenCost-MgmtCost*(1-(1+DiscRate)^-$A23)/DiscRate</f>
        <v/>
      </c>
    </row>
    <row r="24">
      <c r="A24" s="56" t="n">
        <v>13</v>
      </c>
      <c r="B24" s="57">
        <f>CR_a*(1-EXP(-CR_b*$A24))^CR_c</f>
        <v/>
      </c>
      <c r="C24" s="57">
        <f>$B24/$A24</f>
        <v/>
      </c>
      <c r="D24" s="57">
        <f>CR_a*CR_b*CR_c*(1-EXP(-CR_b*$A24))^(CR_c-1)*EXP(-CR_b*$A24)</f>
        <v/>
      </c>
      <c r="E24" s="57">
        <f>IF($A24&lt;2,"",(Stumpage*$B24-RegenCost*(1+DiscRate)^$A24)/((1+DiscRate)^$A24-1)-MgmtCost/DiscRate)</f>
        <v/>
      </c>
      <c r="F24" s="57">
        <f>Stumpage*$B24/(1+DiscRate)^$A24-RegenCost-MgmtCost*(1-(1+DiscRate)^-$A24)/DiscRate</f>
        <v/>
      </c>
    </row>
    <row r="25">
      <c r="A25" s="56" t="n">
        <v>14</v>
      </c>
      <c r="B25" s="57">
        <f>CR_a*(1-EXP(-CR_b*$A25))^CR_c</f>
        <v/>
      </c>
      <c r="C25" s="57">
        <f>$B25/$A25</f>
        <v/>
      </c>
      <c r="D25" s="57">
        <f>CR_a*CR_b*CR_c*(1-EXP(-CR_b*$A25))^(CR_c-1)*EXP(-CR_b*$A25)</f>
        <v/>
      </c>
      <c r="E25" s="57">
        <f>IF($A25&lt;2,"",(Stumpage*$B25-RegenCost*(1+DiscRate)^$A25)/((1+DiscRate)^$A25-1)-MgmtCost/DiscRate)</f>
        <v/>
      </c>
      <c r="F25" s="57">
        <f>Stumpage*$B25/(1+DiscRate)^$A25-RegenCost-MgmtCost*(1-(1+DiscRate)^-$A25)/DiscRate</f>
        <v/>
      </c>
    </row>
    <row r="26">
      <c r="A26" s="56" t="n">
        <v>15</v>
      </c>
      <c r="B26" s="57">
        <f>CR_a*(1-EXP(-CR_b*$A26))^CR_c</f>
        <v/>
      </c>
      <c r="C26" s="57">
        <f>$B26/$A26</f>
        <v/>
      </c>
      <c r="D26" s="57">
        <f>CR_a*CR_b*CR_c*(1-EXP(-CR_b*$A26))^(CR_c-1)*EXP(-CR_b*$A26)</f>
        <v/>
      </c>
      <c r="E26" s="57">
        <f>IF($A26&lt;2,"",(Stumpage*$B26-RegenCost*(1+DiscRate)^$A26)/((1+DiscRate)^$A26-1)-MgmtCost/DiscRate)</f>
        <v/>
      </c>
      <c r="F26" s="57">
        <f>Stumpage*$B26/(1+DiscRate)^$A26-RegenCost-MgmtCost*(1-(1+DiscRate)^-$A26)/DiscRate</f>
        <v/>
      </c>
    </row>
    <row r="27">
      <c r="A27" s="56" t="n">
        <v>16</v>
      </c>
      <c r="B27" s="57">
        <f>CR_a*(1-EXP(-CR_b*$A27))^CR_c</f>
        <v/>
      </c>
      <c r="C27" s="57">
        <f>$B27/$A27</f>
        <v/>
      </c>
      <c r="D27" s="57">
        <f>CR_a*CR_b*CR_c*(1-EXP(-CR_b*$A27))^(CR_c-1)*EXP(-CR_b*$A27)</f>
        <v/>
      </c>
      <c r="E27" s="57">
        <f>IF($A27&lt;2,"",(Stumpage*$B27-RegenCost*(1+DiscRate)^$A27)/((1+DiscRate)^$A27-1)-MgmtCost/DiscRate)</f>
        <v/>
      </c>
      <c r="F27" s="57">
        <f>Stumpage*$B27/(1+DiscRate)^$A27-RegenCost-MgmtCost*(1-(1+DiscRate)^-$A27)/DiscRate</f>
        <v/>
      </c>
    </row>
    <row r="28">
      <c r="A28" s="56" t="n">
        <v>17</v>
      </c>
      <c r="B28" s="57">
        <f>CR_a*(1-EXP(-CR_b*$A28))^CR_c</f>
        <v/>
      </c>
      <c r="C28" s="57">
        <f>$B28/$A28</f>
        <v/>
      </c>
      <c r="D28" s="57">
        <f>CR_a*CR_b*CR_c*(1-EXP(-CR_b*$A28))^(CR_c-1)*EXP(-CR_b*$A28)</f>
        <v/>
      </c>
      <c r="E28" s="57">
        <f>IF($A28&lt;2,"",(Stumpage*$B28-RegenCost*(1+DiscRate)^$A28)/((1+DiscRate)^$A28-1)-MgmtCost/DiscRate)</f>
        <v/>
      </c>
      <c r="F28" s="57">
        <f>Stumpage*$B28/(1+DiscRate)^$A28-RegenCost-MgmtCost*(1-(1+DiscRate)^-$A28)/DiscRate</f>
        <v/>
      </c>
    </row>
    <row r="29">
      <c r="A29" s="56" t="n">
        <v>18</v>
      </c>
      <c r="B29" s="57">
        <f>CR_a*(1-EXP(-CR_b*$A29))^CR_c</f>
        <v/>
      </c>
      <c r="C29" s="57">
        <f>$B29/$A29</f>
        <v/>
      </c>
      <c r="D29" s="57">
        <f>CR_a*CR_b*CR_c*(1-EXP(-CR_b*$A29))^(CR_c-1)*EXP(-CR_b*$A29)</f>
        <v/>
      </c>
      <c r="E29" s="57">
        <f>IF($A29&lt;2,"",(Stumpage*$B29-RegenCost*(1+DiscRate)^$A29)/((1+DiscRate)^$A29-1)-MgmtCost/DiscRate)</f>
        <v/>
      </c>
      <c r="F29" s="57">
        <f>Stumpage*$B29/(1+DiscRate)^$A29-RegenCost-MgmtCost*(1-(1+DiscRate)^-$A29)/DiscRate</f>
        <v/>
      </c>
    </row>
    <row r="30">
      <c r="A30" s="56" t="n">
        <v>19</v>
      </c>
      <c r="B30" s="57">
        <f>CR_a*(1-EXP(-CR_b*$A30))^CR_c</f>
        <v/>
      </c>
      <c r="C30" s="57">
        <f>$B30/$A30</f>
        <v/>
      </c>
      <c r="D30" s="57">
        <f>CR_a*CR_b*CR_c*(1-EXP(-CR_b*$A30))^(CR_c-1)*EXP(-CR_b*$A30)</f>
        <v/>
      </c>
      <c r="E30" s="57">
        <f>IF($A30&lt;2,"",(Stumpage*$B30-RegenCost*(1+DiscRate)^$A30)/((1+DiscRate)^$A30-1)-MgmtCost/DiscRate)</f>
        <v/>
      </c>
      <c r="F30" s="57">
        <f>Stumpage*$B30/(1+DiscRate)^$A30-RegenCost-MgmtCost*(1-(1+DiscRate)^-$A30)/DiscRate</f>
        <v/>
      </c>
    </row>
    <row r="31">
      <c r="A31" s="56" t="n">
        <v>20</v>
      </c>
      <c r="B31" s="57">
        <f>CR_a*(1-EXP(-CR_b*$A31))^CR_c</f>
        <v/>
      </c>
      <c r="C31" s="57">
        <f>$B31/$A31</f>
        <v/>
      </c>
      <c r="D31" s="57">
        <f>CR_a*CR_b*CR_c*(1-EXP(-CR_b*$A31))^(CR_c-1)*EXP(-CR_b*$A31)</f>
        <v/>
      </c>
      <c r="E31" s="57">
        <f>IF($A31&lt;2,"",(Stumpage*$B31-RegenCost*(1+DiscRate)^$A31)/((1+DiscRate)^$A31-1)-MgmtCost/DiscRate)</f>
        <v/>
      </c>
      <c r="F31" s="57">
        <f>Stumpage*$B31/(1+DiscRate)^$A31-RegenCost-MgmtCost*(1-(1+DiscRate)^-$A31)/DiscRate</f>
        <v/>
      </c>
    </row>
    <row r="32">
      <c r="A32" s="56" t="n">
        <v>21</v>
      </c>
      <c r="B32" s="57">
        <f>CR_a*(1-EXP(-CR_b*$A32))^CR_c</f>
        <v/>
      </c>
      <c r="C32" s="57">
        <f>$B32/$A32</f>
        <v/>
      </c>
      <c r="D32" s="57">
        <f>CR_a*CR_b*CR_c*(1-EXP(-CR_b*$A32))^(CR_c-1)*EXP(-CR_b*$A32)</f>
        <v/>
      </c>
      <c r="E32" s="57">
        <f>IF($A32&lt;2,"",(Stumpage*$B32-RegenCost*(1+DiscRate)^$A32)/((1+DiscRate)^$A32-1)-MgmtCost/DiscRate)</f>
        <v/>
      </c>
      <c r="F32" s="57">
        <f>Stumpage*$B32/(1+DiscRate)^$A32-RegenCost-MgmtCost*(1-(1+DiscRate)^-$A32)/DiscRate</f>
        <v/>
      </c>
    </row>
    <row r="33">
      <c r="A33" s="56" t="n">
        <v>22</v>
      </c>
      <c r="B33" s="57">
        <f>CR_a*(1-EXP(-CR_b*$A33))^CR_c</f>
        <v/>
      </c>
      <c r="C33" s="57">
        <f>$B33/$A33</f>
        <v/>
      </c>
      <c r="D33" s="57">
        <f>CR_a*CR_b*CR_c*(1-EXP(-CR_b*$A33))^(CR_c-1)*EXP(-CR_b*$A33)</f>
        <v/>
      </c>
      <c r="E33" s="57">
        <f>IF($A33&lt;2,"",(Stumpage*$B33-RegenCost*(1+DiscRate)^$A33)/((1+DiscRate)^$A33-1)-MgmtCost/DiscRate)</f>
        <v/>
      </c>
      <c r="F33" s="57">
        <f>Stumpage*$B33/(1+DiscRate)^$A33-RegenCost-MgmtCost*(1-(1+DiscRate)^-$A33)/DiscRate</f>
        <v/>
      </c>
    </row>
    <row r="34">
      <c r="A34" s="56" t="n">
        <v>23</v>
      </c>
      <c r="B34" s="57">
        <f>CR_a*(1-EXP(-CR_b*$A34))^CR_c</f>
        <v/>
      </c>
      <c r="C34" s="57">
        <f>$B34/$A34</f>
        <v/>
      </c>
      <c r="D34" s="57">
        <f>CR_a*CR_b*CR_c*(1-EXP(-CR_b*$A34))^(CR_c-1)*EXP(-CR_b*$A34)</f>
        <v/>
      </c>
      <c r="E34" s="57">
        <f>IF($A34&lt;2,"",(Stumpage*$B34-RegenCost*(1+DiscRate)^$A34)/((1+DiscRate)^$A34-1)-MgmtCost/DiscRate)</f>
        <v/>
      </c>
      <c r="F34" s="57">
        <f>Stumpage*$B34/(1+DiscRate)^$A34-RegenCost-MgmtCost*(1-(1+DiscRate)^-$A34)/DiscRate</f>
        <v/>
      </c>
    </row>
    <row r="35">
      <c r="A35" s="56" t="n">
        <v>24</v>
      </c>
      <c r="B35" s="57">
        <f>CR_a*(1-EXP(-CR_b*$A35))^CR_c</f>
        <v/>
      </c>
      <c r="C35" s="57">
        <f>$B35/$A35</f>
        <v/>
      </c>
      <c r="D35" s="57">
        <f>CR_a*CR_b*CR_c*(1-EXP(-CR_b*$A35))^(CR_c-1)*EXP(-CR_b*$A35)</f>
        <v/>
      </c>
      <c r="E35" s="57">
        <f>IF($A35&lt;2,"",(Stumpage*$B35-RegenCost*(1+DiscRate)^$A35)/((1+DiscRate)^$A35-1)-MgmtCost/DiscRate)</f>
        <v/>
      </c>
      <c r="F35" s="57">
        <f>Stumpage*$B35/(1+DiscRate)^$A35-RegenCost-MgmtCost*(1-(1+DiscRate)^-$A35)/DiscRate</f>
        <v/>
      </c>
    </row>
    <row r="36">
      <c r="A36" s="56" t="n">
        <v>25</v>
      </c>
      <c r="B36" s="57">
        <f>CR_a*(1-EXP(-CR_b*$A36))^CR_c</f>
        <v/>
      </c>
      <c r="C36" s="57">
        <f>$B36/$A36</f>
        <v/>
      </c>
      <c r="D36" s="57">
        <f>CR_a*CR_b*CR_c*(1-EXP(-CR_b*$A36))^(CR_c-1)*EXP(-CR_b*$A36)</f>
        <v/>
      </c>
      <c r="E36" s="57">
        <f>IF($A36&lt;2,"",(Stumpage*$B36-RegenCost*(1+DiscRate)^$A36)/((1+DiscRate)^$A36-1)-MgmtCost/DiscRate)</f>
        <v/>
      </c>
      <c r="F36" s="57">
        <f>Stumpage*$B36/(1+DiscRate)^$A36-RegenCost-MgmtCost*(1-(1+DiscRate)^-$A36)/DiscRate</f>
        <v/>
      </c>
    </row>
    <row r="37">
      <c r="A37" s="56" t="n">
        <v>26</v>
      </c>
      <c r="B37" s="57">
        <f>CR_a*(1-EXP(-CR_b*$A37))^CR_c</f>
        <v/>
      </c>
      <c r="C37" s="57">
        <f>$B37/$A37</f>
        <v/>
      </c>
      <c r="D37" s="57">
        <f>CR_a*CR_b*CR_c*(1-EXP(-CR_b*$A37))^(CR_c-1)*EXP(-CR_b*$A37)</f>
        <v/>
      </c>
      <c r="E37" s="57">
        <f>IF($A37&lt;2,"",(Stumpage*$B37-RegenCost*(1+DiscRate)^$A37)/((1+DiscRate)^$A37-1)-MgmtCost/DiscRate)</f>
        <v/>
      </c>
      <c r="F37" s="57">
        <f>Stumpage*$B37/(1+DiscRate)^$A37-RegenCost-MgmtCost*(1-(1+DiscRate)^-$A37)/DiscRate</f>
        <v/>
      </c>
    </row>
    <row r="38">
      <c r="A38" s="56" t="n">
        <v>27</v>
      </c>
      <c r="B38" s="57">
        <f>CR_a*(1-EXP(-CR_b*$A38))^CR_c</f>
        <v/>
      </c>
      <c r="C38" s="57">
        <f>$B38/$A38</f>
        <v/>
      </c>
      <c r="D38" s="57">
        <f>CR_a*CR_b*CR_c*(1-EXP(-CR_b*$A38))^(CR_c-1)*EXP(-CR_b*$A38)</f>
        <v/>
      </c>
      <c r="E38" s="57">
        <f>IF($A38&lt;2,"",(Stumpage*$B38-RegenCost*(1+DiscRate)^$A38)/((1+DiscRate)^$A38-1)-MgmtCost/DiscRate)</f>
        <v/>
      </c>
      <c r="F38" s="57">
        <f>Stumpage*$B38/(1+DiscRate)^$A38-RegenCost-MgmtCost*(1-(1+DiscRate)^-$A38)/DiscRate</f>
        <v/>
      </c>
    </row>
    <row r="39">
      <c r="A39" s="56" t="n">
        <v>28</v>
      </c>
      <c r="B39" s="57">
        <f>CR_a*(1-EXP(-CR_b*$A39))^CR_c</f>
        <v/>
      </c>
      <c r="C39" s="57">
        <f>$B39/$A39</f>
        <v/>
      </c>
      <c r="D39" s="57">
        <f>CR_a*CR_b*CR_c*(1-EXP(-CR_b*$A39))^(CR_c-1)*EXP(-CR_b*$A39)</f>
        <v/>
      </c>
      <c r="E39" s="57">
        <f>IF($A39&lt;2,"",(Stumpage*$B39-RegenCost*(1+DiscRate)^$A39)/((1+DiscRate)^$A39-1)-MgmtCost/DiscRate)</f>
        <v/>
      </c>
      <c r="F39" s="57">
        <f>Stumpage*$B39/(1+DiscRate)^$A39-RegenCost-MgmtCost*(1-(1+DiscRate)^-$A39)/DiscRate</f>
        <v/>
      </c>
    </row>
    <row r="40">
      <c r="A40" s="56" t="n">
        <v>29</v>
      </c>
      <c r="B40" s="57">
        <f>CR_a*(1-EXP(-CR_b*$A40))^CR_c</f>
        <v/>
      </c>
      <c r="C40" s="57">
        <f>$B40/$A40</f>
        <v/>
      </c>
      <c r="D40" s="57">
        <f>CR_a*CR_b*CR_c*(1-EXP(-CR_b*$A40))^(CR_c-1)*EXP(-CR_b*$A40)</f>
        <v/>
      </c>
      <c r="E40" s="57">
        <f>IF($A40&lt;2,"",(Stumpage*$B40-RegenCost*(1+DiscRate)^$A40)/((1+DiscRate)^$A40-1)-MgmtCost/DiscRate)</f>
        <v/>
      </c>
      <c r="F40" s="57">
        <f>Stumpage*$B40/(1+DiscRate)^$A40-RegenCost-MgmtCost*(1-(1+DiscRate)^-$A40)/DiscRate</f>
        <v/>
      </c>
    </row>
    <row r="41">
      <c r="A41" s="56" t="n">
        <v>30</v>
      </c>
      <c r="B41" s="57">
        <f>CR_a*(1-EXP(-CR_b*$A41))^CR_c</f>
        <v/>
      </c>
      <c r="C41" s="57">
        <f>$B41/$A41</f>
        <v/>
      </c>
      <c r="D41" s="57">
        <f>CR_a*CR_b*CR_c*(1-EXP(-CR_b*$A41))^(CR_c-1)*EXP(-CR_b*$A41)</f>
        <v/>
      </c>
      <c r="E41" s="57">
        <f>IF($A41&lt;2,"",(Stumpage*$B41-RegenCost*(1+DiscRate)^$A41)/((1+DiscRate)^$A41-1)-MgmtCost/DiscRate)</f>
        <v/>
      </c>
      <c r="F41" s="57">
        <f>Stumpage*$B41/(1+DiscRate)^$A41-RegenCost-MgmtCost*(1-(1+DiscRate)^-$A41)/DiscRate</f>
        <v/>
      </c>
    </row>
    <row r="42">
      <c r="A42" s="56" t="n">
        <v>31</v>
      </c>
      <c r="B42" s="57">
        <f>CR_a*(1-EXP(-CR_b*$A42))^CR_c</f>
        <v/>
      </c>
      <c r="C42" s="57">
        <f>$B42/$A42</f>
        <v/>
      </c>
      <c r="D42" s="57">
        <f>CR_a*CR_b*CR_c*(1-EXP(-CR_b*$A42))^(CR_c-1)*EXP(-CR_b*$A42)</f>
        <v/>
      </c>
      <c r="E42" s="57">
        <f>IF($A42&lt;2,"",(Stumpage*$B42-RegenCost*(1+DiscRate)^$A42)/((1+DiscRate)^$A42-1)-MgmtCost/DiscRate)</f>
        <v/>
      </c>
      <c r="F42" s="57">
        <f>Stumpage*$B42/(1+DiscRate)^$A42-RegenCost-MgmtCost*(1-(1+DiscRate)^-$A42)/DiscRate</f>
        <v/>
      </c>
    </row>
    <row r="43">
      <c r="A43" s="56" t="n">
        <v>32</v>
      </c>
      <c r="B43" s="57">
        <f>CR_a*(1-EXP(-CR_b*$A43))^CR_c</f>
        <v/>
      </c>
      <c r="C43" s="57">
        <f>$B43/$A43</f>
        <v/>
      </c>
      <c r="D43" s="57">
        <f>CR_a*CR_b*CR_c*(1-EXP(-CR_b*$A43))^(CR_c-1)*EXP(-CR_b*$A43)</f>
        <v/>
      </c>
      <c r="E43" s="57">
        <f>IF($A43&lt;2,"",(Stumpage*$B43-RegenCost*(1+DiscRate)^$A43)/((1+DiscRate)^$A43-1)-MgmtCost/DiscRate)</f>
        <v/>
      </c>
      <c r="F43" s="57">
        <f>Stumpage*$B43/(1+DiscRate)^$A43-RegenCost-MgmtCost*(1-(1+DiscRate)^-$A43)/DiscRate</f>
        <v/>
      </c>
    </row>
    <row r="44">
      <c r="A44" s="56" t="n">
        <v>33</v>
      </c>
      <c r="B44" s="57">
        <f>CR_a*(1-EXP(-CR_b*$A44))^CR_c</f>
        <v/>
      </c>
      <c r="C44" s="57">
        <f>$B44/$A44</f>
        <v/>
      </c>
      <c r="D44" s="57">
        <f>CR_a*CR_b*CR_c*(1-EXP(-CR_b*$A44))^(CR_c-1)*EXP(-CR_b*$A44)</f>
        <v/>
      </c>
      <c r="E44" s="57">
        <f>IF($A44&lt;2,"",(Stumpage*$B44-RegenCost*(1+DiscRate)^$A44)/((1+DiscRate)^$A44-1)-MgmtCost/DiscRate)</f>
        <v/>
      </c>
      <c r="F44" s="57">
        <f>Stumpage*$B44/(1+DiscRate)^$A44-RegenCost-MgmtCost*(1-(1+DiscRate)^-$A44)/DiscRate</f>
        <v/>
      </c>
    </row>
    <row r="45">
      <c r="A45" s="56" t="n">
        <v>34</v>
      </c>
      <c r="B45" s="57">
        <f>CR_a*(1-EXP(-CR_b*$A45))^CR_c</f>
        <v/>
      </c>
      <c r="C45" s="57">
        <f>$B45/$A45</f>
        <v/>
      </c>
      <c r="D45" s="57">
        <f>CR_a*CR_b*CR_c*(1-EXP(-CR_b*$A45))^(CR_c-1)*EXP(-CR_b*$A45)</f>
        <v/>
      </c>
      <c r="E45" s="57">
        <f>IF($A45&lt;2,"",(Stumpage*$B45-RegenCost*(1+DiscRate)^$A45)/((1+DiscRate)^$A45-1)-MgmtCost/DiscRate)</f>
        <v/>
      </c>
      <c r="F45" s="57">
        <f>Stumpage*$B45/(1+DiscRate)^$A45-RegenCost-MgmtCost*(1-(1+DiscRate)^-$A45)/DiscRate</f>
        <v/>
      </c>
    </row>
    <row r="46">
      <c r="A46" s="56" t="n">
        <v>35</v>
      </c>
      <c r="B46" s="57">
        <f>CR_a*(1-EXP(-CR_b*$A46))^CR_c</f>
        <v/>
      </c>
      <c r="C46" s="57">
        <f>$B46/$A46</f>
        <v/>
      </c>
      <c r="D46" s="57">
        <f>CR_a*CR_b*CR_c*(1-EXP(-CR_b*$A46))^(CR_c-1)*EXP(-CR_b*$A46)</f>
        <v/>
      </c>
      <c r="E46" s="57">
        <f>IF($A46&lt;2,"",(Stumpage*$B46-RegenCost*(1+DiscRate)^$A46)/((1+DiscRate)^$A46-1)-MgmtCost/DiscRate)</f>
        <v/>
      </c>
      <c r="F46" s="57">
        <f>Stumpage*$B46/(1+DiscRate)^$A46-RegenCost-MgmtCost*(1-(1+DiscRate)^-$A46)/DiscRate</f>
        <v/>
      </c>
    </row>
    <row r="47">
      <c r="A47" s="56" t="n">
        <v>36</v>
      </c>
      <c r="B47" s="57">
        <f>CR_a*(1-EXP(-CR_b*$A47))^CR_c</f>
        <v/>
      </c>
      <c r="C47" s="57">
        <f>$B47/$A47</f>
        <v/>
      </c>
      <c r="D47" s="57">
        <f>CR_a*CR_b*CR_c*(1-EXP(-CR_b*$A47))^(CR_c-1)*EXP(-CR_b*$A47)</f>
        <v/>
      </c>
      <c r="E47" s="57">
        <f>IF($A47&lt;2,"",(Stumpage*$B47-RegenCost*(1+DiscRate)^$A47)/((1+DiscRate)^$A47-1)-MgmtCost/DiscRate)</f>
        <v/>
      </c>
      <c r="F47" s="57">
        <f>Stumpage*$B47/(1+DiscRate)^$A47-RegenCost-MgmtCost*(1-(1+DiscRate)^-$A47)/DiscRate</f>
        <v/>
      </c>
    </row>
    <row r="48">
      <c r="A48" s="56" t="n">
        <v>37</v>
      </c>
      <c r="B48" s="57">
        <f>CR_a*(1-EXP(-CR_b*$A48))^CR_c</f>
        <v/>
      </c>
      <c r="C48" s="57">
        <f>$B48/$A48</f>
        <v/>
      </c>
      <c r="D48" s="57">
        <f>CR_a*CR_b*CR_c*(1-EXP(-CR_b*$A48))^(CR_c-1)*EXP(-CR_b*$A48)</f>
        <v/>
      </c>
      <c r="E48" s="57">
        <f>IF($A48&lt;2,"",(Stumpage*$B48-RegenCost*(1+DiscRate)^$A48)/((1+DiscRate)^$A48-1)-MgmtCost/DiscRate)</f>
        <v/>
      </c>
      <c r="F48" s="57">
        <f>Stumpage*$B48/(1+DiscRate)^$A48-RegenCost-MgmtCost*(1-(1+DiscRate)^-$A48)/DiscRate</f>
        <v/>
      </c>
    </row>
    <row r="49">
      <c r="A49" s="56" t="n">
        <v>38</v>
      </c>
      <c r="B49" s="57">
        <f>CR_a*(1-EXP(-CR_b*$A49))^CR_c</f>
        <v/>
      </c>
      <c r="C49" s="57">
        <f>$B49/$A49</f>
        <v/>
      </c>
      <c r="D49" s="57">
        <f>CR_a*CR_b*CR_c*(1-EXP(-CR_b*$A49))^(CR_c-1)*EXP(-CR_b*$A49)</f>
        <v/>
      </c>
      <c r="E49" s="57">
        <f>IF($A49&lt;2,"",(Stumpage*$B49-RegenCost*(1+DiscRate)^$A49)/((1+DiscRate)^$A49-1)-MgmtCost/DiscRate)</f>
        <v/>
      </c>
      <c r="F49" s="57">
        <f>Stumpage*$B49/(1+DiscRate)^$A49-RegenCost-MgmtCost*(1-(1+DiscRate)^-$A49)/DiscRate</f>
        <v/>
      </c>
    </row>
    <row r="50">
      <c r="A50" s="56" t="n">
        <v>39</v>
      </c>
      <c r="B50" s="57">
        <f>CR_a*(1-EXP(-CR_b*$A50))^CR_c</f>
        <v/>
      </c>
      <c r="C50" s="57">
        <f>$B50/$A50</f>
        <v/>
      </c>
      <c r="D50" s="57">
        <f>CR_a*CR_b*CR_c*(1-EXP(-CR_b*$A50))^(CR_c-1)*EXP(-CR_b*$A50)</f>
        <v/>
      </c>
      <c r="E50" s="57">
        <f>IF($A50&lt;2,"",(Stumpage*$B50-RegenCost*(1+DiscRate)^$A50)/((1+DiscRate)^$A50-1)-MgmtCost/DiscRate)</f>
        <v/>
      </c>
      <c r="F50" s="57">
        <f>Stumpage*$B50/(1+DiscRate)^$A50-RegenCost-MgmtCost*(1-(1+DiscRate)^-$A50)/DiscRate</f>
        <v/>
      </c>
    </row>
    <row r="51">
      <c r="A51" s="56" t="n">
        <v>40</v>
      </c>
      <c r="B51" s="57">
        <f>CR_a*(1-EXP(-CR_b*$A51))^CR_c</f>
        <v/>
      </c>
      <c r="C51" s="57">
        <f>$B51/$A51</f>
        <v/>
      </c>
      <c r="D51" s="57">
        <f>CR_a*CR_b*CR_c*(1-EXP(-CR_b*$A51))^(CR_c-1)*EXP(-CR_b*$A51)</f>
        <v/>
      </c>
      <c r="E51" s="57">
        <f>IF($A51&lt;2,"",(Stumpage*$B51-RegenCost*(1+DiscRate)^$A51)/((1+DiscRate)^$A51-1)-MgmtCost/DiscRate)</f>
        <v/>
      </c>
      <c r="F51" s="57">
        <f>Stumpage*$B51/(1+DiscRate)^$A51-RegenCost-MgmtCost*(1-(1+DiscRate)^-$A51)/DiscRate</f>
        <v/>
      </c>
    </row>
    <row r="52">
      <c r="A52" s="56" t="n">
        <v>41</v>
      </c>
      <c r="B52" s="57">
        <f>CR_a*(1-EXP(-CR_b*$A52))^CR_c</f>
        <v/>
      </c>
      <c r="C52" s="57">
        <f>$B52/$A52</f>
        <v/>
      </c>
      <c r="D52" s="57">
        <f>CR_a*CR_b*CR_c*(1-EXP(-CR_b*$A52))^(CR_c-1)*EXP(-CR_b*$A52)</f>
        <v/>
      </c>
      <c r="E52" s="57">
        <f>IF($A52&lt;2,"",(Stumpage*$B52-RegenCost*(1+DiscRate)^$A52)/((1+DiscRate)^$A52-1)-MgmtCost/DiscRate)</f>
        <v/>
      </c>
      <c r="F52" s="57">
        <f>Stumpage*$B52/(1+DiscRate)^$A52-RegenCost-MgmtCost*(1-(1+DiscRate)^-$A52)/DiscRate</f>
        <v/>
      </c>
    </row>
    <row r="53">
      <c r="A53" s="56" t="n">
        <v>42</v>
      </c>
      <c r="B53" s="57">
        <f>CR_a*(1-EXP(-CR_b*$A53))^CR_c</f>
        <v/>
      </c>
      <c r="C53" s="57">
        <f>$B53/$A53</f>
        <v/>
      </c>
      <c r="D53" s="57">
        <f>CR_a*CR_b*CR_c*(1-EXP(-CR_b*$A53))^(CR_c-1)*EXP(-CR_b*$A53)</f>
        <v/>
      </c>
      <c r="E53" s="57">
        <f>IF($A53&lt;2,"",(Stumpage*$B53-RegenCost*(1+DiscRate)^$A53)/((1+DiscRate)^$A53-1)-MgmtCost/DiscRate)</f>
        <v/>
      </c>
      <c r="F53" s="57">
        <f>Stumpage*$B53/(1+DiscRate)^$A53-RegenCost-MgmtCost*(1-(1+DiscRate)^-$A53)/DiscRate</f>
        <v/>
      </c>
    </row>
    <row r="54">
      <c r="A54" s="56" t="n">
        <v>43</v>
      </c>
      <c r="B54" s="57">
        <f>CR_a*(1-EXP(-CR_b*$A54))^CR_c</f>
        <v/>
      </c>
      <c r="C54" s="57">
        <f>$B54/$A54</f>
        <v/>
      </c>
      <c r="D54" s="57">
        <f>CR_a*CR_b*CR_c*(1-EXP(-CR_b*$A54))^(CR_c-1)*EXP(-CR_b*$A54)</f>
        <v/>
      </c>
      <c r="E54" s="57">
        <f>IF($A54&lt;2,"",(Stumpage*$B54-RegenCost*(1+DiscRate)^$A54)/((1+DiscRate)^$A54-1)-MgmtCost/DiscRate)</f>
        <v/>
      </c>
      <c r="F54" s="57">
        <f>Stumpage*$B54/(1+DiscRate)^$A54-RegenCost-MgmtCost*(1-(1+DiscRate)^-$A54)/DiscRate</f>
        <v/>
      </c>
    </row>
    <row r="55">
      <c r="A55" s="56" t="n">
        <v>44</v>
      </c>
      <c r="B55" s="57">
        <f>CR_a*(1-EXP(-CR_b*$A55))^CR_c</f>
        <v/>
      </c>
      <c r="C55" s="57">
        <f>$B55/$A55</f>
        <v/>
      </c>
      <c r="D55" s="57">
        <f>CR_a*CR_b*CR_c*(1-EXP(-CR_b*$A55))^(CR_c-1)*EXP(-CR_b*$A55)</f>
        <v/>
      </c>
      <c r="E55" s="57">
        <f>IF($A55&lt;2,"",(Stumpage*$B55-RegenCost*(1+DiscRate)^$A55)/((1+DiscRate)^$A55-1)-MgmtCost/DiscRate)</f>
        <v/>
      </c>
      <c r="F55" s="57">
        <f>Stumpage*$B55/(1+DiscRate)^$A55-RegenCost-MgmtCost*(1-(1+DiscRate)^-$A55)/DiscRate</f>
        <v/>
      </c>
    </row>
    <row r="56">
      <c r="A56" s="56" t="n">
        <v>45</v>
      </c>
      <c r="B56" s="57">
        <f>CR_a*(1-EXP(-CR_b*$A56))^CR_c</f>
        <v/>
      </c>
      <c r="C56" s="57">
        <f>$B56/$A56</f>
        <v/>
      </c>
      <c r="D56" s="57">
        <f>CR_a*CR_b*CR_c*(1-EXP(-CR_b*$A56))^(CR_c-1)*EXP(-CR_b*$A56)</f>
        <v/>
      </c>
      <c r="E56" s="57">
        <f>IF($A56&lt;2,"",(Stumpage*$B56-RegenCost*(1+DiscRate)^$A56)/((1+DiscRate)^$A56-1)-MgmtCost/DiscRate)</f>
        <v/>
      </c>
      <c r="F56" s="57">
        <f>Stumpage*$B56/(1+DiscRate)^$A56-RegenCost-MgmtCost*(1-(1+DiscRate)^-$A56)/DiscRate</f>
        <v/>
      </c>
    </row>
    <row r="57">
      <c r="A57" s="56" t="n">
        <v>46</v>
      </c>
      <c r="B57" s="57">
        <f>CR_a*(1-EXP(-CR_b*$A57))^CR_c</f>
        <v/>
      </c>
      <c r="C57" s="57">
        <f>$B57/$A57</f>
        <v/>
      </c>
      <c r="D57" s="57">
        <f>CR_a*CR_b*CR_c*(1-EXP(-CR_b*$A57))^(CR_c-1)*EXP(-CR_b*$A57)</f>
        <v/>
      </c>
      <c r="E57" s="57">
        <f>IF($A57&lt;2,"",(Stumpage*$B57-RegenCost*(1+DiscRate)^$A57)/((1+DiscRate)^$A57-1)-MgmtCost/DiscRate)</f>
        <v/>
      </c>
      <c r="F57" s="57">
        <f>Stumpage*$B57/(1+DiscRate)^$A57-RegenCost-MgmtCost*(1-(1+DiscRate)^-$A57)/DiscRate</f>
        <v/>
      </c>
    </row>
    <row r="58">
      <c r="A58" s="56" t="n">
        <v>47</v>
      </c>
      <c r="B58" s="57">
        <f>CR_a*(1-EXP(-CR_b*$A58))^CR_c</f>
        <v/>
      </c>
      <c r="C58" s="57">
        <f>$B58/$A58</f>
        <v/>
      </c>
      <c r="D58" s="57">
        <f>CR_a*CR_b*CR_c*(1-EXP(-CR_b*$A58))^(CR_c-1)*EXP(-CR_b*$A58)</f>
        <v/>
      </c>
      <c r="E58" s="57">
        <f>IF($A58&lt;2,"",(Stumpage*$B58-RegenCost*(1+DiscRate)^$A58)/((1+DiscRate)^$A58-1)-MgmtCost/DiscRate)</f>
        <v/>
      </c>
      <c r="F58" s="57">
        <f>Stumpage*$B58/(1+DiscRate)^$A58-RegenCost-MgmtCost*(1-(1+DiscRate)^-$A58)/DiscRate</f>
        <v/>
      </c>
    </row>
    <row r="59">
      <c r="A59" s="56" t="n">
        <v>48</v>
      </c>
      <c r="B59" s="57">
        <f>CR_a*(1-EXP(-CR_b*$A59))^CR_c</f>
        <v/>
      </c>
      <c r="C59" s="57">
        <f>$B59/$A59</f>
        <v/>
      </c>
      <c r="D59" s="57">
        <f>CR_a*CR_b*CR_c*(1-EXP(-CR_b*$A59))^(CR_c-1)*EXP(-CR_b*$A59)</f>
        <v/>
      </c>
      <c r="E59" s="57">
        <f>IF($A59&lt;2,"",(Stumpage*$B59-RegenCost*(1+DiscRate)^$A59)/((1+DiscRate)^$A59-1)-MgmtCost/DiscRate)</f>
        <v/>
      </c>
      <c r="F59" s="57">
        <f>Stumpage*$B59/(1+DiscRate)^$A59-RegenCost-MgmtCost*(1-(1+DiscRate)^-$A59)/DiscRate</f>
        <v/>
      </c>
    </row>
    <row r="60">
      <c r="A60" s="56" t="n">
        <v>49</v>
      </c>
      <c r="B60" s="57">
        <f>CR_a*(1-EXP(-CR_b*$A60))^CR_c</f>
        <v/>
      </c>
      <c r="C60" s="57">
        <f>$B60/$A60</f>
        <v/>
      </c>
      <c r="D60" s="57">
        <f>CR_a*CR_b*CR_c*(1-EXP(-CR_b*$A60))^(CR_c-1)*EXP(-CR_b*$A60)</f>
        <v/>
      </c>
      <c r="E60" s="57">
        <f>IF($A60&lt;2,"",(Stumpage*$B60-RegenCost*(1+DiscRate)^$A60)/((1+DiscRate)^$A60-1)-MgmtCost/DiscRate)</f>
        <v/>
      </c>
      <c r="F60" s="57">
        <f>Stumpage*$B60/(1+DiscRate)^$A60-RegenCost-MgmtCost*(1-(1+DiscRate)^-$A60)/DiscRate</f>
        <v/>
      </c>
    </row>
    <row r="61">
      <c r="A61" s="56" t="n">
        <v>50</v>
      </c>
      <c r="B61" s="57">
        <f>CR_a*(1-EXP(-CR_b*$A61))^CR_c</f>
        <v/>
      </c>
      <c r="C61" s="57">
        <f>$B61/$A61</f>
        <v/>
      </c>
      <c r="D61" s="57">
        <f>CR_a*CR_b*CR_c*(1-EXP(-CR_b*$A61))^(CR_c-1)*EXP(-CR_b*$A61)</f>
        <v/>
      </c>
      <c r="E61" s="57">
        <f>IF($A61&lt;2,"",(Stumpage*$B61-RegenCost*(1+DiscRate)^$A61)/((1+DiscRate)^$A61-1)-MgmtCost/DiscRate)</f>
        <v/>
      </c>
      <c r="F61" s="57">
        <f>Stumpage*$B61/(1+DiscRate)^$A61-RegenCost-MgmtCost*(1-(1+DiscRate)^-$A61)/DiscRate</f>
        <v/>
      </c>
    </row>
    <row r="62">
      <c r="A62" s="56" t="n">
        <v>51</v>
      </c>
      <c r="B62" s="57">
        <f>CR_a*(1-EXP(-CR_b*$A62))^CR_c</f>
        <v/>
      </c>
      <c r="C62" s="57">
        <f>$B62/$A62</f>
        <v/>
      </c>
      <c r="D62" s="57">
        <f>CR_a*CR_b*CR_c*(1-EXP(-CR_b*$A62))^(CR_c-1)*EXP(-CR_b*$A62)</f>
        <v/>
      </c>
      <c r="E62" s="57">
        <f>IF($A62&lt;2,"",(Stumpage*$B62-RegenCost*(1+DiscRate)^$A62)/((1+DiscRate)^$A62-1)-MgmtCost/DiscRate)</f>
        <v/>
      </c>
      <c r="F62" s="57">
        <f>Stumpage*$B62/(1+DiscRate)^$A62-RegenCost-MgmtCost*(1-(1+DiscRate)^-$A62)/DiscRate</f>
        <v/>
      </c>
    </row>
    <row r="63">
      <c r="A63" s="56" t="n">
        <v>52</v>
      </c>
      <c r="B63" s="57">
        <f>CR_a*(1-EXP(-CR_b*$A63))^CR_c</f>
        <v/>
      </c>
      <c r="C63" s="57">
        <f>$B63/$A63</f>
        <v/>
      </c>
      <c r="D63" s="57">
        <f>CR_a*CR_b*CR_c*(1-EXP(-CR_b*$A63))^(CR_c-1)*EXP(-CR_b*$A63)</f>
        <v/>
      </c>
      <c r="E63" s="57">
        <f>IF($A63&lt;2,"",(Stumpage*$B63-RegenCost*(1+DiscRate)^$A63)/((1+DiscRate)^$A63-1)-MgmtCost/DiscRate)</f>
        <v/>
      </c>
      <c r="F63" s="57">
        <f>Stumpage*$B63/(1+DiscRate)^$A63-RegenCost-MgmtCost*(1-(1+DiscRate)^-$A63)/DiscRate</f>
        <v/>
      </c>
    </row>
    <row r="64">
      <c r="A64" s="56" t="n">
        <v>53</v>
      </c>
      <c r="B64" s="57">
        <f>CR_a*(1-EXP(-CR_b*$A64))^CR_c</f>
        <v/>
      </c>
      <c r="C64" s="57">
        <f>$B64/$A64</f>
        <v/>
      </c>
      <c r="D64" s="57">
        <f>CR_a*CR_b*CR_c*(1-EXP(-CR_b*$A64))^(CR_c-1)*EXP(-CR_b*$A64)</f>
        <v/>
      </c>
      <c r="E64" s="57">
        <f>IF($A64&lt;2,"",(Stumpage*$B64-RegenCost*(1+DiscRate)^$A64)/((1+DiscRate)^$A64-1)-MgmtCost/DiscRate)</f>
        <v/>
      </c>
      <c r="F64" s="57">
        <f>Stumpage*$B64/(1+DiscRate)^$A64-RegenCost-MgmtCost*(1-(1+DiscRate)^-$A64)/DiscRate</f>
        <v/>
      </c>
    </row>
    <row r="65">
      <c r="A65" s="56" t="n">
        <v>54</v>
      </c>
      <c r="B65" s="57">
        <f>CR_a*(1-EXP(-CR_b*$A65))^CR_c</f>
        <v/>
      </c>
      <c r="C65" s="57">
        <f>$B65/$A65</f>
        <v/>
      </c>
      <c r="D65" s="57">
        <f>CR_a*CR_b*CR_c*(1-EXP(-CR_b*$A65))^(CR_c-1)*EXP(-CR_b*$A65)</f>
        <v/>
      </c>
      <c r="E65" s="57">
        <f>IF($A65&lt;2,"",(Stumpage*$B65-RegenCost*(1+DiscRate)^$A65)/((1+DiscRate)^$A65-1)-MgmtCost/DiscRate)</f>
        <v/>
      </c>
      <c r="F65" s="57">
        <f>Stumpage*$B65/(1+DiscRate)^$A65-RegenCost-MgmtCost*(1-(1+DiscRate)^-$A65)/DiscRate</f>
        <v/>
      </c>
    </row>
    <row r="66">
      <c r="A66" s="56" t="n">
        <v>55</v>
      </c>
      <c r="B66" s="57">
        <f>CR_a*(1-EXP(-CR_b*$A66))^CR_c</f>
        <v/>
      </c>
      <c r="C66" s="57">
        <f>$B66/$A66</f>
        <v/>
      </c>
      <c r="D66" s="57">
        <f>CR_a*CR_b*CR_c*(1-EXP(-CR_b*$A66))^(CR_c-1)*EXP(-CR_b*$A66)</f>
        <v/>
      </c>
      <c r="E66" s="57">
        <f>IF($A66&lt;2,"",(Stumpage*$B66-RegenCost*(1+DiscRate)^$A66)/((1+DiscRate)^$A66-1)-MgmtCost/DiscRate)</f>
        <v/>
      </c>
      <c r="F66" s="57">
        <f>Stumpage*$B66/(1+DiscRate)^$A66-RegenCost-MgmtCost*(1-(1+DiscRate)^-$A66)/DiscRate</f>
        <v/>
      </c>
    </row>
    <row r="67">
      <c r="A67" s="56" t="n">
        <v>56</v>
      </c>
      <c r="B67" s="57">
        <f>CR_a*(1-EXP(-CR_b*$A67))^CR_c</f>
        <v/>
      </c>
      <c r="C67" s="57">
        <f>$B67/$A67</f>
        <v/>
      </c>
      <c r="D67" s="57">
        <f>CR_a*CR_b*CR_c*(1-EXP(-CR_b*$A67))^(CR_c-1)*EXP(-CR_b*$A67)</f>
        <v/>
      </c>
      <c r="E67" s="57">
        <f>IF($A67&lt;2,"",(Stumpage*$B67-RegenCost*(1+DiscRate)^$A67)/((1+DiscRate)^$A67-1)-MgmtCost/DiscRate)</f>
        <v/>
      </c>
      <c r="F67" s="57">
        <f>Stumpage*$B67/(1+DiscRate)^$A67-RegenCost-MgmtCost*(1-(1+DiscRate)^-$A67)/DiscRate</f>
        <v/>
      </c>
    </row>
    <row r="68">
      <c r="A68" s="56" t="n">
        <v>57</v>
      </c>
      <c r="B68" s="57">
        <f>CR_a*(1-EXP(-CR_b*$A68))^CR_c</f>
        <v/>
      </c>
      <c r="C68" s="57">
        <f>$B68/$A68</f>
        <v/>
      </c>
      <c r="D68" s="57">
        <f>CR_a*CR_b*CR_c*(1-EXP(-CR_b*$A68))^(CR_c-1)*EXP(-CR_b*$A68)</f>
        <v/>
      </c>
      <c r="E68" s="57">
        <f>IF($A68&lt;2,"",(Stumpage*$B68-RegenCost*(1+DiscRate)^$A68)/((1+DiscRate)^$A68-1)-MgmtCost/DiscRate)</f>
        <v/>
      </c>
      <c r="F68" s="57">
        <f>Stumpage*$B68/(1+DiscRate)^$A68-RegenCost-MgmtCost*(1-(1+DiscRate)^-$A68)/DiscRate</f>
        <v/>
      </c>
    </row>
    <row r="69">
      <c r="A69" s="56" t="n">
        <v>58</v>
      </c>
      <c r="B69" s="57">
        <f>CR_a*(1-EXP(-CR_b*$A69))^CR_c</f>
        <v/>
      </c>
      <c r="C69" s="57">
        <f>$B69/$A69</f>
        <v/>
      </c>
      <c r="D69" s="57">
        <f>CR_a*CR_b*CR_c*(1-EXP(-CR_b*$A69))^(CR_c-1)*EXP(-CR_b*$A69)</f>
        <v/>
      </c>
      <c r="E69" s="57">
        <f>IF($A69&lt;2,"",(Stumpage*$B69-RegenCost*(1+DiscRate)^$A69)/((1+DiscRate)^$A69-1)-MgmtCost/DiscRate)</f>
        <v/>
      </c>
      <c r="F69" s="57">
        <f>Stumpage*$B69/(1+DiscRate)^$A69-RegenCost-MgmtCost*(1-(1+DiscRate)^-$A69)/DiscRate</f>
        <v/>
      </c>
    </row>
    <row r="70">
      <c r="A70" s="56" t="n">
        <v>59</v>
      </c>
      <c r="B70" s="57">
        <f>CR_a*(1-EXP(-CR_b*$A70))^CR_c</f>
        <v/>
      </c>
      <c r="C70" s="57">
        <f>$B70/$A70</f>
        <v/>
      </c>
      <c r="D70" s="57">
        <f>CR_a*CR_b*CR_c*(1-EXP(-CR_b*$A70))^(CR_c-1)*EXP(-CR_b*$A70)</f>
        <v/>
      </c>
      <c r="E70" s="57">
        <f>IF($A70&lt;2,"",(Stumpage*$B70-RegenCost*(1+DiscRate)^$A70)/((1+DiscRate)^$A70-1)-MgmtCost/DiscRate)</f>
        <v/>
      </c>
      <c r="F70" s="57">
        <f>Stumpage*$B70/(1+DiscRate)^$A70-RegenCost-MgmtCost*(1-(1+DiscRate)^-$A70)/DiscRate</f>
        <v/>
      </c>
    </row>
    <row r="71">
      <c r="A71" s="56" t="n">
        <v>60</v>
      </c>
      <c r="B71" s="57">
        <f>CR_a*(1-EXP(-CR_b*$A71))^CR_c</f>
        <v/>
      </c>
      <c r="C71" s="57">
        <f>$B71/$A71</f>
        <v/>
      </c>
      <c r="D71" s="57">
        <f>CR_a*CR_b*CR_c*(1-EXP(-CR_b*$A71))^(CR_c-1)*EXP(-CR_b*$A71)</f>
        <v/>
      </c>
      <c r="E71" s="57">
        <f>IF($A71&lt;2,"",(Stumpage*$B71-RegenCost*(1+DiscRate)^$A71)/((1+DiscRate)^$A71-1)-MgmtCost/DiscRate)</f>
        <v/>
      </c>
      <c r="F71" s="57">
        <f>Stumpage*$B71/(1+DiscRate)^$A71-RegenCost-MgmtCost*(1-(1+DiscRate)^-$A71)/DiscRate</f>
        <v/>
      </c>
    </row>
    <row r="72">
      <c r="A72" s="56" t="n">
        <v>61</v>
      </c>
      <c r="B72" s="57">
        <f>CR_a*(1-EXP(-CR_b*$A72))^CR_c</f>
        <v/>
      </c>
      <c r="C72" s="57">
        <f>$B72/$A72</f>
        <v/>
      </c>
      <c r="D72" s="57">
        <f>CR_a*CR_b*CR_c*(1-EXP(-CR_b*$A72))^(CR_c-1)*EXP(-CR_b*$A72)</f>
        <v/>
      </c>
      <c r="E72" s="57">
        <f>IF($A72&lt;2,"",(Stumpage*$B72-RegenCost*(1+DiscRate)^$A72)/((1+DiscRate)^$A72-1)-MgmtCost/DiscRate)</f>
        <v/>
      </c>
      <c r="F72" s="57">
        <f>Stumpage*$B72/(1+DiscRate)^$A72-RegenCost-MgmtCost*(1-(1+DiscRate)^-$A72)/DiscRate</f>
        <v/>
      </c>
    </row>
    <row r="73">
      <c r="A73" s="56" t="n">
        <v>62</v>
      </c>
      <c r="B73" s="57">
        <f>CR_a*(1-EXP(-CR_b*$A73))^CR_c</f>
        <v/>
      </c>
      <c r="C73" s="57">
        <f>$B73/$A73</f>
        <v/>
      </c>
      <c r="D73" s="57">
        <f>CR_a*CR_b*CR_c*(1-EXP(-CR_b*$A73))^(CR_c-1)*EXP(-CR_b*$A73)</f>
        <v/>
      </c>
      <c r="E73" s="57">
        <f>IF($A73&lt;2,"",(Stumpage*$B73-RegenCost*(1+DiscRate)^$A73)/((1+DiscRate)^$A73-1)-MgmtCost/DiscRate)</f>
        <v/>
      </c>
      <c r="F73" s="57">
        <f>Stumpage*$B73/(1+DiscRate)^$A73-RegenCost-MgmtCost*(1-(1+DiscRate)^-$A73)/DiscRate</f>
        <v/>
      </c>
    </row>
    <row r="74">
      <c r="A74" s="56" t="n">
        <v>63</v>
      </c>
      <c r="B74" s="57">
        <f>CR_a*(1-EXP(-CR_b*$A74))^CR_c</f>
        <v/>
      </c>
      <c r="C74" s="57">
        <f>$B74/$A74</f>
        <v/>
      </c>
      <c r="D74" s="57">
        <f>CR_a*CR_b*CR_c*(1-EXP(-CR_b*$A74))^(CR_c-1)*EXP(-CR_b*$A74)</f>
        <v/>
      </c>
      <c r="E74" s="57">
        <f>IF($A74&lt;2,"",(Stumpage*$B74-RegenCost*(1+DiscRate)^$A74)/((1+DiscRate)^$A74-1)-MgmtCost/DiscRate)</f>
        <v/>
      </c>
      <c r="F74" s="57">
        <f>Stumpage*$B74/(1+DiscRate)^$A74-RegenCost-MgmtCost*(1-(1+DiscRate)^-$A74)/DiscRate</f>
        <v/>
      </c>
    </row>
    <row r="75">
      <c r="A75" s="56" t="n">
        <v>64</v>
      </c>
      <c r="B75" s="57">
        <f>CR_a*(1-EXP(-CR_b*$A75))^CR_c</f>
        <v/>
      </c>
      <c r="C75" s="57">
        <f>$B75/$A75</f>
        <v/>
      </c>
      <c r="D75" s="57">
        <f>CR_a*CR_b*CR_c*(1-EXP(-CR_b*$A75))^(CR_c-1)*EXP(-CR_b*$A75)</f>
        <v/>
      </c>
      <c r="E75" s="57">
        <f>IF($A75&lt;2,"",(Stumpage*$B75-RegenCost*(1+DiscRate)^$A75)/((1+DiscRate)^$A75-1)-MgmtCost/DiscRate)</f>
        <v/>
      </c>
      <c r="F75" s="57">
        <f>Stumpage*$B75/(1+DiscRate)^$A75-RegenCost-MgmtCost*(1-(1+DiscRate)^-$A75)/DiscRate</f>
        <v/>
      </c>
    </row>
    <row r="76">
      <c r="A76" s="56" t="n">
        <v>65</v>
      </c>
      <c r="B76" s="57">
        <f>CR_a*(1-EXP(-CR_b*$A76))^CR_c</f>
        <v/>
      </c>
      <c r="C76" s="57">
        <f>$B76/$A76</f>
        <v/>
      </c>
      <c r="D76" s="57">
        <f>CR_a*CR_b*CR_c*(1-EXP(-CR_b*$A76))^(CR_c-1)*EXP(-CR_b*$A76)</f>
        <v/>
      </c>
      <c r="E76" s="57">
        <f>IF($A76&lt;2,"",(Stumpage*$B76-RegenCost*(1+DiscRate)^$A76)/((1+DiscRate)^$A76-1)-MgmtCost/DiscRate)</f>
        <v/>
      </c>
      <c r="F76" s="57">
        <f>Stumpage*$B76/(1+DiscRate)^$A76-RegenCost-MgmtCost*(1-(1+DiscRate)^-$A76)/DiscRate</f>
        <v/>
      </c>
    </row>
    <row r="77">
      <c r="A77" s="56" t="n">
        <v>66</v>
      </c>
      <c r="B77" s="57">
        <f>CR_a*(1-EXP(-CR_b*$A77))^CR_c</f>
        <v/>
      </c>
      <c r="C77" s="57">
        <f>$B77/$A77</f>
        <v/>
      </c>
      <c r="D77" s="57">
        <f>CR_a*CR_b*CR_c*(1-EXP(-CR_b*$A77))^(CR_c-1)*EXP(-CR_b*$A77)</f>
        <v/>
      </c>
      <c r="E77" s="57">
        <f>IF($A77&lt;2,"",(Stumpage*$B77-RegenCost*(1+DiscRate)^$A77)/((1+DiscRate)^$A77-1)-MgmtCost/DiscRate)</f>
        <v/>
      </c>
      <c r="F77" s="57">
        <f>Stumpage*$B77/(1+DiscRate)^$A77-RegenCost-MgmtCost*(1-(1+DiscRate)^-$A77)/DiscRate</f>
        <v/>
      </c>
    </row>
    <row r="78">
      <c r="A78" s="56" t="n">
        <v>67</v>
      </c>
      <c r="B78" s="57">
        <f>CR_a*(1-EXP(-CR_b*$A78))^CR_c</f>
        <v/>
      </c>
      <c r="C78" s="57">
        <f>$B78/$A78</f>
        <v/>
      </c>
      <c r="D78" s="57">
        <f>CR_a*CR_b*CR_c*(1-EXP(-CR_b*$A78))^(CR_c-1)*EXP(-CR_b*$A78)</f>
        <v/>
      </c>
      <c r="E78" s="57">
        <f>IF($A78&lt;2,"",(Stumpage*$B78-RegenCost*(1+DiscRate)^$A78)/((1+DiscRate)^$A78-1)-MgmtCost/DiscRate)</f>
        <v/>
      </c>
      <c r="F78" s="57">
        <f>Stumpage*$B78/(1+DiscRate)^$A78-RegenCost-MgmtCost*(1-(1+DiscRate)^-$A78)/DiscRate</f>
        <v/>
      </c>
    </row>
    <row r="79">
      <c r="A79" s="56" t="n">
        <v>68</v>
      </c>
      <c r="B79" s="57">
        <f>CR_a*(1-EXP(-CR_b*$A79))^CR_c</f>
        <v/>
      </c>
      <c r="C79" s="57">
        <f>$B79/$A79</f>
        <v/>
      </c>
      <c r="D79" s="57">
        <f>CR_a*CR_b*CR_c*(1-EXP(-CR_b*$A79))^(CR_c-1)*EXP(-CR_b*$A79)</f>
        <v/>
      </c>
      <c r="E79" s="57">
        <f>IF($A79&lt;2,"",(Stumpage*$B79-RegenCost*(1+DiscRate)^$A79)/((1+DiscRate)^$A79-1)-MgmtCost/DiscRate)</f>
        <v/>
      </c>
      <c r="F79" s="57">
        <f>Stumpage*$B79/(1+DiscRate)^$A79-RegenCost-MgmtCost*(1-(1+DiscRate)^-$A79)/DiscRate</f>
        <v/>
      </c>
    </row>
    <row r="80">
      <c r="A80" s="56" t="n">
        <v>69</v>
      </c>
      <c r="B80" s="57">
        <f>CR_a*(1-EXP(-CR_b*$A80))^CR_c</f>
        <v/>
      </c>
      <c r="C80" s="57">
        <f>$B80/$A80</f>
        <v/>
      </c>
      <c r="D80" s="57">
        <f>CR_a*CR_b*CR_c*(1-EXP(-CR_b*$A80))^(CR_c-1)*EXP(-CR_b*$A80)</f>
        <v/>
      </c>
      <c r="E80" s="57">
        <f>IF($A80&lt;2,"",(Stumpage*$B80-RegenCost*(1+DiscRate)^$A80)/((1+DiscRate)^$A80-1)-MgmtCost/DiscRate)</f>
        <v/>
      </c>
      <c r="F80" s="57">
        <f>Stumpage*$B80/(1+DiscRate)^$A80-RegenCost-MgmtCost*(1-(1+DiscRate)^-$A80)/DiscRate</f>
        <v/>
      </c>
    </row>
    <row r="81">
      <c r="A81" s="56" t="n">
        <v>70</v>
      </c>
      <c r="B81" s="57">
        <f>CR_a*(1-EXP(-CR_b*$A81))^CR_c</f>
        <v/>
      </c>
      <c r="C81" s="57">
        <f>$B81/$A81</f>
        <v/>
      </c>
      <c r="D81" s="57">
        <f>CR_a*CR_b*CR_c*(1-EXP(-CR_b*$A81))^(CR_c-1)*EXP(-CR_b*$A81)</f>
        <v/>
      </c>
      <c r="E81" s="57">
        <f>IF($A81&lt;2,"",(Stumpage*$B81-RegenCost*(1+DiscRate)^$A81)/((1+DiscRate)^$A81-1)-MgmtCost/DiscRate)</f>
        <v/>
      </c>
      <c r="F81" s="57">
        <f>Stumpage*$B81/(1+DiscRate)^$A81-RegenCost-MgmtCost*(1-(1+DiscRate)^-$A81)/DiscRate</f>
        <v/>
      </c>
    </row>
    <row r="82">
      <c r="A82" s="56" t="n">
        <v>71</v>
      </c>
      <c r="B82" s="57">
        <f>CR_a*(1-EXP(-CR_b*$A82))^CR_c</f>
        <v/>
      </c>
      <c r="C82" s="57">
        <f>$B82/$A82</f>
        <v/>
      </c>
      <c r="D82" s="57">
        <f>CR_a*CR_b*CR_c*(1-EXP(-CR_b*$A82))^(CR_c-1)*EXP(-CR_b*$A82)</f>
        <v/>
      </c>
      <c r="E82" s="57">
        <f>IF($A82&lt;2,"",(Stumpage*$B82-RegenCost*(1+DiscRate)^$A82)/((1+DiscRate)^$A82-1)-MgmtCost/DiscRate)</f>
        <v/>
      </c>
      <c r="F82" s="57">
        <f>Stumpage*$B82/(1+DiscRate)^$A82-RegenCost-MgmtCost*(1-(1+DiscRate)^-$A82)/DiscRate</f>
        <v/>
      </c>
    </row>
    <row r="83">
      <c r="A83" s="56" t="n">
        <v>72</v>
      </c>
      <c r="B83" s="57">
        <f>CR_a*(1-EXP(-CR_b*$A83))^CR_c</f>
        <v/>
      </c>
      <c r="C83" s="57">
        <f>$B83/$A83</f>
        <v/>
      </c>
      <c r="D83" s="57">
        <f>CR_a*CR_b*CR_c*(1-EXP(-CR_b*$A83))^(CR_c-1)*EXP(-CR_b*$A83)</f>
        <v/>
      </c>
      <c r="E83" s="57">
        <f>IF($A83&lt;2,"",(Stumpage*$B83-RegenCost*(1+DiscRate)^$A83)/((1+DiscRate)^$A83-1)-MgmtCost/DiscRate)</f>
        <v/>
      </c>
      <c r="F83" s="57">
        <f>Stumpage*$B83/(1+DiscRate)^$A83-RegenCost-MgmtCost*(1-(1+DiscRate)^-$A83)/DiscRate</f>
        <v/>
      </c>
    </row>
    <row r="84">
      <c r="A84" s="56" t="n">
        <v>73</v>
      </c>
      <c r="B84" s="57">
        <f>CR_a*(1-EXP(-CR_b*$A84))^CR_c</f>
        <v/>
      </c>
      <c r="C84" s="57">
        <f>$B84/$A84</f>
        <v/>
      </c>
      <c r="D84" s="57">
        <f>CR_a*CR_b*CR_c*(1-EXP(-CR_b*$A84))^(CR_c-1)*EXP(-CR_b*$A84)</f>
        <v/>
      </c>
      <c r="E84" s="57">
        <f>IF($A84&lt;2,"",(Stumpage*$B84-RegenCost*(1+DiscRate)^$A84)/((1+DiscRate)^$A84-1)-MgmtCost/DiscRate)</f>
        <v/>
      </c>
      <c r="F84" s="57">
        <f>Stumpage*$B84/(1+DiscRate)^$A84-RegenCost-MgmtCost*(1-(1+DiscRate)^-$A84)/DiscRate</f>
        <v/>
      </c>
    </row>
    <row r="85">
      <c r="A85" s="56" t="n">
        <v>74</v>
      </c>
      <c r="B85" s="57">
        <f>CR_a*(1-EXP(-CR_b*$A85))^CR_c</f>
        <v/>
      </c>
      <c r="C85" s="57">
        <f>$B85/$A85</f>
        <v/>
      </c>
      <c r="D85" s="57">
        <f>CR_a*CR_b*CR_c*(1-EXP(-CR_b*$A85))^(CR_c-1)*EXP(-CR_b*$A85)</f>
        <v/>
      </c>
      <c r="E85" s="57">
        <f>IF($A85&lt;2,"",(Stumpage*$B85-RegenCost*(1+DiscRate)^$A85)/((1+DiscRate)^$A85-1)-MgmtCost/DiscRate)</f>
        <v/>
      </c>
      <c r="F85" s="57">
        <f>Stumpage*$B85/(1+DiscRate)^$A85-RegenCost-MgmtCost*(1-(1+DiscRate)^-$A85)/DiscRate</f>
        <v/>
      </c>
    </row>
    <row r="86">
      <c r="A86" s="56" t="n">
        <v>75</v>
      </c>
      <c r="B86" s="57">
        <f>CR_a*(1-EXP(-CR_b*$A86))^CR_c</f>
        <v/>
      </c>
      <c r="C86" s="57">
        <f>$B86/$A86</f>
        <v/>
      </c>
      <c r="D86" s="57">
        <f>CR_a*CR_b*CR_c*(1-EXP(-CR_b*$A86))^(CR_c-1)*EXP(-CR_b*$A86)</f>
        <v/>
      </c>
      <c r="E86" s="57">
        <f>IF($A86&lt;2,"",(Stumpage*$B86-RegenCost*(1+DiscRate)^$A86)/((1+DiscRate)^$A86-1)-MgmtCost/DiscRate)</f>
        <v/>
      </c>
      <c r="F86" s="57">
        <f>Stumpage*$B86/(1+DiscRate)^$A86-RegenCost-MgmtCost*(1-(1+DiscRate)^-$A86)/DiscRate</f>
        <v/>
      </c>
    </row>
    <row r="87">
      <c r="A87" s="56" t="n">
        <v>76</v>
      </c>
      <c r="B87" s="57">
        <f>CR_a*(1-EXP(-CR_b*$A87))^CR_c</f>
        <v/>
      </c>
      <c r="C87" s="57">
        <f>$B87/$A87</f>
        <v/>
      </c>
      <c r="D87" s="57">
        <f>CR_a*CR_b*CR_c*(1-EXP(-CR_b*$A87))^(CR_c-1)*EXP(-CR_b*$A87)</f>
        <v/>
      </c>
      <c r="E87" s="57">
        <f>IF($A87&lt;2,"",(Stumpage*$B87-RegenCost*(1+DiscRate)^$A87)/((1+DiscRate)^$A87-1)-MgmtCost/DiscRate)</f>
        <v/>
      </c>
      <c r="F87" s="57">
        <f>Stumpage*$B87/(1+DiscRate)^$A87-RegenCost-MgmtCost*(1-(1+DiscRate)^-$A87)/DiscRate</f>
        <v/>
      </c>
    </row>
    <row r="88">
      <c r="A88" s="56" t="n">
        <v>77</v>
      </c>
      <c r="B88" s="57">
        <f>CR_a*(1-EXP(-CR_b*$A88))^CR_c</f>
        <v/>
      </c>
      <c r="C88" s="57">
        <f>$B88/$A88</f>
        <v/>
      </c>
      <c r="D88" s="57">
        <f>CR_a*CR_b*CR_c*(1-EXP(-CR_b*$A88))^(CR_c-1)*EXP(-CR_b*$A88)</f>
        <v/>
      </c>
      <c r="E88" s="57">
        <f>IF($A88&lt;2,"",(Stumpage*$B88-RegenCost*(1+DiscRate)^$A88)/((1+DiscRate)^$A88-1)-MgmtCost/DiscRate)</f>
        <v/>
      </c>
      <c r="F88" s="57">
        <f>Stumpage*$B88/(1+DiscRate)^$A88-RegenCost-MgmtCost*(1-(1+DiscRate)^-$A88)/DiscRate</f>
        <v/>
      </c>
    </row>
    <row r="89">
      <c r="A89" s="56" t="n">
        <v>78</v>
      </c>
      <c r="B89" s="57">
        <f>CR_a*(1-EXP(-CR_b*$A89))^CR_c</f>
        <v/>
      </c>
      <c r="C89" s="57">
        <f>$B89/$A89</f>
        <v/>
      </c>
      <c r="D89" s="57">
        <f>CR_a*CR_b*CR_c*(1-EXP(-CR_b*$A89))^(CR_c-1)*EXP(-CR_b*$A89)</f>
        <v/>
      </c>
      <c r="E89" s="57">
        <f>IF($A89&lt;2,"",(Stumpage*$B89-RegenCost*(1+DiscRate)^$A89)/((1+DiscRate)^$A89-1)-MgmtCost/DiscRate)</f>
        <v/>
      </c>
      <c r="F89" s="57">
        <f>Stumpage*$B89/(1+DiscRate)^$A89-RegenCost-MgmtCost*(1-(1+DiscRate)^-$A89)/DiscRate</f>
        <v/>
      </c>
    </row>
    <row r="90">
      <c r="A90" s="56" t="n">
        <v>79</v>
      </c>
      <c r="B90" s="57">
        <f>CR_a*(1-EXP(-CR_b*$A90))^CR_c</f>
        <v/>
      </c>
      <c r="C90" s="57">
        <f>$B90/$A90</f>
        <v/>
      </c>
      <c r="D90" s="57">
        <f>CR_a*CR_b*CR_c*(1-EXP(-CR_b*$A90))^(CR_c-1)*EXP(-CR_b*$A90)</f>
        <v/>
      </c>
      <c r="E90" s="57">
        <f>IF($A90&lt;2,"",(Stumpage*$B90-RegenCost*(1+DiscRate)^$A90)/((1+DiscRate)^$A90-1)-MgmtCost/DiscRate)</f>
        <v/>
      </c>
      <c r="F90" s="57">
        <f>Stumpage*$B90/(1+DiscRate)^$A90-RegenCost-MgmtCost*(1-(1+DiscRate)^-$A90)/DiscRate</f>
        <v/>
      </c>
    </row>
    <row r="91">
      <c r="A91" s="56" t="n">
        <v>80</v>
      </c>
      <c r="B91" s="57">
        <f>CR_a*(1-EXP(-CR_b*$A91))^CR_c</f>
        <v/>
      </c>
      <c r="C91" s="57">
        <f>$B91/$A91</f>
        <v/>
      </c>
      <c r="D91" s="57">
        <f>CR_a*CR_b*CR_c*(1-EXP(-CR_b*$A91))^(CR_c-1)*EXP(-CR_b*$A91)</f>
        <v/>
      </c>
      <c r="E91" s="57">
        <f>IF($A91&lt;2,"",(Stumpage*$B91-RegenCost*(1+DiscRate)^$A91)/((1+DiscRate)^$A91-1)-MgmtCost/DiscRate)</f>
        <v/>
      </c>
      <c r="F91" s="57">
        <f>Stumpage*$B91/(1+DiscRate)^$A91-RegenCost-MgmtCost*(1-(1+DiscRate)^-$A91)/DiscRate</f>
        <v/>
      </c>
    </row>
    <row r="92">
      <c r="A92" s="56" t="n">
        <v>81</v>
      </c>
      <c r="B92" s="57">
        <f>CR_a*(1-EXP(-CR_b*$A92))^CR_c</f>
        <v/>
      </c>
      <c r="C92" s="57">
        <f>$B92/$A92</f>
        <v/>
      </c>
      <c r="D92" s="57">
        <f>CR_a*CR_b*CR_c*(1-EXP(-CR_b*$A92))^(CR_c-1)*EXP(-CR_b*$A92)</f>
        <v/>
      </c>
      <c r="E92" s="57">
        <f>IF($A92&lt;2,"",(Stumpage*$B92-RegenCost*(1+DiscRate)^$A92)/((1+DiscRate)^$A92-1)-MgmtCost/DiscRate)</f>
        <v/>
      </c>
      <c r="F92" s="57">
        <f>Stumpage*$B92/(1+DiscRate)^$A92-RegenCost-MgmtCost*(1-(1+DiscRate)^-$A92)/DiscRate</f>
        <v/>
      </c>
    </row>
    <row r="93">
      <c r="A93" s="56" t="n">
        <v>82</v>
      </c>
      <c r="B93" s="57">
        <f>CR_a*(1-EXP(-CR_b*$A93))^CR_c</f>
        <v/>
      </c>
      <c r="C93" s="57">
        <f>$B93/$A93</f>
        <v/>
      </c>
      <c r="D93" s="57">
        <f>CR_a*CR_b*CR_c*(1-EXP(-CR_b*$A93))^(CR_c-1)*EXP(-CR_b*$A93)</f>
        <v/>
      </c>
      <c r="E93" s="57">
        <f>IF($A93&lt;2,"",(Stumpage*$B93-RegenCost*(1+DiscRate)^$A93)/((1+DiscRate)^$A93-1)-MgmtCost/DiscRate)</f>
        <v/>
      </c>
      <c r="F93" s="57">
        <f>Stumpage*$B93/(1+DiscRate)^$A93-RegenCost-MgmtCost*(1-(1+DiscRate)^-$A93)/DiscRate</f>
        <v/>
      </c>
    </row>
    <row r="94">
      <c r="A94" s="56" t="n">
        <v>83</v>
      </c>
      <c r="B94" s="57">
        <f>CR_a*(1-EXP(-CR_b*$A94))^CR_c</f>
        <v/>
      </c>
      <c r="C94" s="57">
        <f>$B94/$A94</f>
        <v/>
      </c>
      <c r="D94" s="57">
        <f>CR_a*CR_b*CR_c*(1-EXP(-CR_b*$A94))^(CR_c-1)*EXP(-CR_b*$A94)</f>
        <v/>
      </c>
      <c r="E94" s="57">
        <f>IF($A94&lt;2,"",(Stumpage*$B94-RegenCost*(1+DiscRate)^$A94)/((1+DiscRate)^$A94-1)-MgmtCost/DiscRate)</f>
        <v/>
      </c>
      <c r="F94" s="57">
        <f>Stumpage*$B94/(1+DiscRate)^$A94-RegenCost-MgmtCost*(1-(1+DiscRate)^-$A94)/DiscRate</f>
        <v/>
      </c>
    </row>
    <row r="95">
      <c r="A95" s="56" t="n">
        <v>84</v>
      </c>
      <c r="B95" s="57">
        <f>CR_a*(1-EXP(-CR_b*$A95))^CR_c</f>
        <v/>
      </c>
      <c r="C95" s="57">
        <f>$B95/$A95</f>
        <v/>
      </c>
      <c r="D95" s="57">
        <f>CR_a*CR_b*CR_c*(1-EXP(-CR_b*$A95))^(CR_c-1)*EXP(-CR_b*$A95)</f>
        <v/>
      </c>
      <c r="E95" s="57">
        <f>IF($A95&lt;2,"",(Stumpage*$B95-RegenCost*(1+DiscRate)^$A95)/((1+DiscRate)^$A95-1)-MgmtCost/DiscRate)</f>
        <v/>
      </c>
      <c r="F95" s="57">
        <f>Stumpage*$B95/(1+DiscRate)^$A95-RegenCost-MgmtCost*(1-(1+DiscRate)^-$A95)/DiscRate</f>
        <v/>
      </c>
    </row>
    <row r="96">
      <c r="A96" s="56" t="n">
        <v>85</v>
      </c>
      <c r="B96" s="57">
        <f>CR_a*(1-EXP(-CR_b*$A96))^CR_c</f>
        <v/>
      </c>
      <c r="C96" s="57">
        <f>$B96/$A96</f>
        <v/>
      </c>
      <c r="D96" s="57">
        <f>CR_a*CR_b*CR_c*(1-EXP(-CR_b*$A96))^(CR_c-1)*EXP(-CR_b*$A96)</f>
        <v/>
      </c>
      <c r="E96" s="57">
        <f>IF($A96&lt;2,"",(Stumpage*$B96-RegenCost*(1+DiscRate)^$A96)/((1+DiscRate)^$A96-1)-MgmtCost/DiscRate)</f>
        <v/>
      </c>
      <c r="F96" s="57">
        <f>Stumpage*$B96/(1+DiscRate)^$A96-RegenCost-MgmtCost*(1-(1+DiscRate)^-$A96)/DiscRate</f>
        <v/>
      </c>
    </row>
    <row r="97">
      <c r="A97" s="56" t="n">
        <v>86</v>
      </c>
      <c r="B97" s="57">
        <f>CR_a*(1-EXP(-CR_b*$A97))^CR_c</f>
        <v/>
      </c>
      <c r="C97" s="57">
        <f>$B97/$A97</f>
        <v/>
      </c>
      <c r="D97" s="57">
        <f>CR_a*CR_b*CR_c*(1-EXP(-CR_b*$A97))^(CR_c-1)*EXP(-CR_b*$A97)</f>
        <v/>
      </c>
      <c r="E97" s="57">
        <f>IF($A97&lt;2,"",(Stumpage*$B97-RegenCost*(1+DiscRate)^$A97)/((1+DiscRate)^$A97-1)-MgmtCost/DiscRate)</f>
        <v/>
      </c>
      <c r="F97" s="57">
        <f>Stumpage*$B97/(1+DiscRate)^$A97-RegenCost-MgmtCost*(1-(1+DiscRate)^-$A97)/DiscRate</f>
        <v/>
      </c>
    </row>
    <row r="98">
      <c r="A98" s="56" t="n">
        <v>87</v>
      </c>
      <c r="B98" s="57">
        <f>CR_a*(1-EXP(-CR_b*$A98))^CR_c</f>
        <v/>
      </c>
      <c r="C98" s="57">
        <f>$B98/$A98</f>
        <v/>
      </c>
      <c r="D98" s="57">
        <f>CR_a*CR_b*CR_c*(1-EXP(-CR_b*$A98))^(CR_c-1)*EXP(-CR_b*$A98)</f>
        <v/>
      </c>
      <c r="E98" s="57">
        <f>IF($A98&lt;2,"",(Stumpage*$B98-RegenCost*(1+DiscRate)^$A98)/((1+DiscRate)^$A98-1)-MgmtCost/DiscRate)</f>
        <v/>
      </c>
      <c r="F98" s="57">
        <f>Stumpage*$B98/(1+DiscRate)^$A98-RegenCost-MgmtCost*(1-(1+DiscRate)^-$A98)/DiscRate</f>
        <v/>
      </c>
    </row>
    <row r="99">
      <c r="A99" s="56" t="n">
        <v>88</v>
      </c>
      <c r="B99" s="57">
        <f>CR_a*(1-EXP(-CR_b*$A99))^CR_c</f>
        <v/>
      </c>
      <c r="C99" s="57">
        <f>$B99/$A99</f>
        <v/>
      </c>
      <c r="D99" s="57">
        <f>CR_a*CR_b*CR_c*(1-EXP(-CR_b*$A99))^(CR_c-1)*EXP(-CR_b*$A99)</f>
        <v/>
      </c>
      <c r="E99" s="57">
        <f>IF($A99&lt;2,"",(Stumpage*$B99-RegenCost*(1+DiscRate)^$A99)/((1+DiscRate)^$A99-1)-MgmtCost/DiscRate)</f>
        <v/>
      </c>
      <c r="F99" s="57">
        <f>Stumpage*$B99/(1+DiscRate)^$A99-RegenCost-MgmtCost*(1-(1+DiscRate)^-$A99)/DiscRate</f>
        <v/>
      </c>
    </row>
    <row r="100">
      <c r="A100" s="56" t="n">
        <v>89</v>
      </c>
      <c r="B100" s="57">
        <f>CR_a*(1-EXP(-CR_b*$A100))^CR_c</f>
        <v/>
      </c>
      <c r="C100" s="57">
        <f>$B100/$A100</f>
        <v/>
      </c>
      <c r="D100" s="57">
        <f>CR_a*CR_b*CR_c*(1-EXP(-CR_b*$A100))^(CR_c-1)*EXP(-CR_b*$A100)</f>
        <v/>
      </c>
      <c r="E100" s="57">
        <f>IF($A100&lt;2,"",(Stumpage*$B100-RegenCost*(1+DiscRate)^$A100)/((1+DiscRate)^$A100-1)-MgmtCost/DiscRate)</f>
        <v/>
      </c>
      <c r="F100" s="57">
        <f>Stumpage*$B100/(1+DiscRate)^$A100-RegenCost-MgmtCost*(1-(1+DiscRate)^-$A100)/DiscRate</f>
        <v/>
      </c>
    </row>
    <row r="101">
      <c r="A101" s="56" t="n">
        <v>90</v>
      </c>
      <c r="B101" s="57">
        <f>CR_a*(1-EXP(-CR_b*$A101))^CR_c</f>
        <v/>
      </c>
      <c r="C101" s="57">
        <f>$B101/$A101</f>
        <v/>
      </c>
      <c r="D101" s="57">
        <f>CR_a*CR_b*CR_c*(1-EXP(-CR_b*$A101))^(CR_c-1)*EXP(-CR_b*$A101)</f>
        <v/>
      </c>
      <c r="E101" s="57">
        <f>IF($A101&lt;2,"",(Stumpage*$B101-RegenCost*(1+DiscRate)^$A101)/((1+DiscRate)^$A101-1)-MgmtCost/DiscRate)</f>
        <v/>
      </c>
      <c r="F101" s="57">
        <f>Stumpage*$B101/(1+DiscRate)^$A101-RegenCost-MgmtCost*(1-(1+DiscRate)^-$A101)/DiscRate</f>
        <v/>
      </c>
    </row>
    <row r="102">
      <c r="A102" s="56" t="n">
        <v>91</v>
      </c>
      <c r="B102" s="57">
        <f>CR_a*(1-EXP(-CR_b*$A102))^CR_c</f>
        <v/>
      </c>
      <c r="C102" s="57">
        <f>$B102/$A102</f>
        <v/>
      </c>
      <c r="D102" s="57">
        <f>CR_a*CR_b*CR_c*(1-EXP(-CR_b*$A102))^(CR_c-1)*EXP(-CR_b*$A102)</f>
        <v/>
      </c>
      <c r="E102" s="57">
        <f>IF($A102&lt;2,"",(Stumpage*$B102-RegenCost*(1+DiscRate)^$A102)/((1+DiscRate)^$A102-1)-MgmtCost/DiscRate)</f>
        <v/>
      </c>
      <c r="F102" s="57">
        <f>Stumpage*$B102/(1+DiscRate)^$A102-RegenCost-MgmtCost*(1-(1+DiscRate)^-$A102)/DiscRate</f>
        <v/>
      </c>
    </row>
    <row r="103">
      <c r="A103" s="56" t="n">
        <v>92</v>
      </c>
      <c r="B103" s="57">
        <f>CR_a*(1-EXP(-CR_b*$A103))^CR_c</f>
        <v/>
      </c>
      <c r="C103" s="57">
        <f>$B103/$A103</f>
        <v/>
      </c>
      <c r="D103" s="57">
        <f>CR_a*CR_b*CR_c*(1-EXP(-CR_b*$A103))^(CR_c-1)*EXP(-CR_b*$A103)</f>
        <v/>
      </c>
      <c r="E103" s="57">
        <f>IF($A103&lt;2,"",(Stumpage*$B103-RegenCost*(1+DiscRate)^$A103)/((1+DiscRate)^$A103-1)-MgmtCost/DiscRate)</f>
        <v/>
      </c>
      <c r="F103" s="57">
        <f>Stumpage*$B103/(1+DiscRate)^$A103-RegenCost-MgmtCost*(1-(1+DiscRate)^-$A103)/DiscRate</f>
        <v/>
      </c>
    </row>
    <row r="104">
      <c r="A104" s="56" t="n">
        <v>93</v>
      </c>
      <c r="B104" s="57">
        <f>CR_a*(1-EXP(-CR_b*$A104))^CR_c</f>
        <v/>
      </c>
      <c r="C104" s="57">
        <f>$B104/$A104</f>
        <v/>
      </c>
      <c r="D104" s="57">
        <f>CR_a*CR_b*CR_c*(1-EXP(-CR_b*$A104))^(CR_c-1)*EXP(-CR_b*$A104)</f>
        <v/>
      </c>
      <c r="E104" s="57">
        <f>IF($A104&lt;2,"",(Stumpage*$B104-RegenCost*(1+DiscRate)^$A104)/((1+DiscRate)^$A104-1)-MgmtCost/DiscRate)</f>
        <v/>
      </c>
      <c r="F104" s="57">
        <f>Stumpage*$B104/(1+DiscRate)^$A104-RegenCost-MgmtCost*(1-(1+DiscRate)^-$A104)/DiscRate</f>
        <v/>
      </c>
    </row>
    <row r="105">
      <c r="A105" s="56" t="n">
        <v>94</v>
      </c>
      <c r="B105" s="57">
        <f>CR_a*(1-EXP(-CR_b*$A105))^CR_c</f>
        <v/>
      </c>
      <c r="C105" s="57">
        <f>$B105/$A105</f>
        <v/>
      </c>
      <c r="D105" s="57">
        <f>CR_a*CR_b*CR_c*(1-EXP(-CR_b*$A105))^(CR_c-1)*EXP(-CR_b*$A105)</f>
        <v/>
      </c>
      <c r="E105" s="57">
        <f>IF($A105&lt;2,"",(Stumpage*$B105-RegenCost*(1+DiscRate)^$A105)/((1+DiscRate)^$A105-1)-MgmtCost/DiscRate)</f>
        <v/>
      </c>
      <c r="F105" s="57">
        <f>Stumpage*$B105/(1+DiscRate)^$A105-RegenCost-MgmtCost*(1-(1+DiscRate)^-$A105)/DiscRate</f>
        <v/>
      </c>
    </row>
    <row r="106">
      <c r="A106" s="56" t="n">
        <v>95</v>
      </c>
      <c r="B106" s="57">
        <f>CR_a*(1-EXP(-CR_b*$A106))^CR_c</f>
        <v/>
      </c>
      <c r="C106" s="57">
        <f>$B106/$A106</f>
        <v/>
      </c>
      <c r="D106" s="57">
        <f>CR_a*CR_b*CR_c*(1-EXP(-CR_b*$A106))^(CR_c-1)*EXP(-CR_b*$A106)</f>
        <v/>
      </c>
      <c r="E106" s="57">
        <f>IF($A106&lt;2,"",(Stumpage*$B106-RegenCost*(1+DiscRate)^$A106)/((1+DiscRate)^$A106-1)-MgmtCost/DiscRate)</f>
        <v/>
      </c>
      <c r="F106" s="57">
        <f>Stumpage*$B106/(1+DiscRate)^$A106-RegenCost-MgmtCost*(1-(1+DiscRate)^-$A106)/DiscRate</f>
        <v/>
      </c>
    </row>
    <row r="107">
      <c r="A107" s="56" t="n">
        <v>96</v>
      </c>
      <c r="B107" s="57">
        <f>CR_a*(1-EXP(-CR_b*$A107))^CR_c</f>
        <v/>
      </c>
      <c r="C107" s="57">
        <f>$B107/$A107</f>
        <v/>
      </c>
      <c r="D107" s="57">
        <f>CR_a*CR_b*CR_c*(1-EXP(-CR_b*$A107))^(CR_c-1)*EXP(-CR_b*$A107)</f>
        <v/>
      </c>
      <c r="E107" s="57">
        <f>IF($A107&lt;2,"",(Stumpage*$B107-RegenCost*(1+DiscRate)^$A107)/((1+DiscRate)^$A107-1)-MgmtCost/DiscRate)</f>
        <v/>
      </c>
      <c r="F107" s="57">
        <f>Stumpage*$B107/(1+DiscRate)^$A107-RegenCost-MgmtCost*(1-(1+DiscRate)^-$A107)/DiscRate</f>
        <v/>
      </c>
    </row>
    <row r="108">
      <c r="A108" s="56" t="n">
        <v>97</v>
      </c>
      <c r="B108" s="57">
        <f>CR_a*(1-EXP(-CR_b*$A108))^CR_c</f>
        <v/>
      </c>
      <c r="C108" s="57">
        <f>$B108/$A108</f>
        <v/>
      </c>
      <c r="D108" s="57">
        <f>CR_a*CR_b*CR_c*(1-EXP(-CR_b*$A108))^(CR_c-1)*EXP(-CR_b*$A108)</f>
        <v/>
      </c>
      <c r="E108" s="57">
        <f>IF($A108&lt;2,"",(Stumpage*$B108-RegenCost*(1+DiscRate)^$A108)/((1+DiscRate)^$A108-1)-MgmtCost/DiscRate)</f>
        <v/>
      </c>
      <c r="F108" s="57">
        <f>Stumpage*$B108/(1+DiscRate)^$A108-RegenCost-MgmtCost*(1-(1+DiscRate)^-$A108)/DiscRate</f>
        <v/>
      </c>
    </row>
    <row r="109">
      <c r="A109" s="56" t="n">
        <v>98</v>
      </c>
      <c r="B109" s="57">
        <f>CR_a*(1-EXP(-CR_b*$A109))^CR_c</f>
        <v/>
      </c>
      <c r="C109" s="57">
        <f>$B109/$A109</f>
        <v/>
      </c>
      <c r="D109" s="57">
        <f>CR_a*CR_b*CR_c*(1-EXP(-CR_b*$A109))^(CR_c-1)*EXP(-CR_b*$A109)</f>
        <v/>
      </c>
      <c r="E109" s="57">
        <f>IF($A109&lt;2,"",(Stumpage*$B109-RegenCost*(1+DiscRate)^$A109)/((1+DiscRate)^$A109-1)-MgmtCost/DiscRate)</f>
        <v/>
      </c>
      <c r="F109" s="57">
        <f>Stumpage*$B109/(1+DiscRate)^$A109-RegenCost-MgmtCost*(1-(1+DiscRate)^-$A109)/DiscRate</f>
        <v/>
      </c>
    </row>
    <row r="110">
      <c r="A110" s="56" t="n">
        <v>99</v>
      </c>
      <c r="B110" s="57">
        <f>CR_a*(1-EXP(-CR_b*$A110))^CR_c</f>
        <v/>
      </c>
      <c r="C110" s="57">
        <f>$B110/$A110</f>
        <v/>
      </c>
      <c r="D110" s="57">
        <f>CR_a*CR_b*CR_c*(1-EXP(-CR_b*$A110))^(CR_c-1)*EXP(-CR_b*$A110)</f>
        <v/>
      </c>
      <c r="E110" s="57">
        <f>IF($A110&lt;2,"",(Stumpage*$B110-RegenCost*(1+DiscRate)^$A110)/((1+DiscRate)^$A110-1)-MgmtCost/DiscRate)</f>
        <v/>
      </c>
      <c r="F110" s="57">
        <f>Stumpage*$B110/(1+DiscRate)^$A110-RegenCost-MgmtCost*(1-(1+DiscRate)^-$A110)/DiscRate</f>
        <v/>
      </c>
    </row>
    <row r="111">
      <c r="A111" s="56" t="n">
        <v>100</v>
      </c>
      <c r="B111" s="57">
        <f>CR_a*(1-EXP(-CR_b*$A111))^CR_c</f>
        <v/>
      </c>
      <c r="C111" s="57">
        <f>$B111/$A111</f>
        <v/>
      </c>
      <c r="D111" s="57">
        <f>CR_a*CR_b*CR_c*(1-EXP(-CR_b*$A111))^(CR_c-1)*EXP(-CR_b*$A111)</f>
        <v/>
      </c>
      <c r="E111" s="57">
        <f>IF($A111&lt;2,"",(Stumpage*$B111-RegenCost*(1+DiscRate)^$A111)/((1+DiscRate)^$A111-1)-MgmtCost/DiscRate)</f>
        <v/>
      </c>
      <c r="F111" s="57">
        <f>Stumpage*$B111/(1+DiscRate)^$A111-RegenCost-MgmtCost*(1-(1+DiscRate)^-$A111)/DiscRate</f>
        <v/>
      </c>
    </row>
    <row r="112">
      <c r="A112" s="56" t="n">
        <v>101</v>
      </c>
      <c r="B112" s="57">
        <f>CR_a*(1-EXP(-CR_b*$A112))^CR_c</f>
        <v/>
      </c>
      <c r="C112" s="57">
        <f>$B112/$A112</f>
        <v/>
      </c>
      <c r="D112" s="57">
        <f>CR_a*CR_b*CR_c*(1-EXP(-CR_b*$A112))^(CR_c-1)*EXP(-CR_b*$A112)</f>
        <v/>
      </c>
      <c r="E112" s="57">
        <f>IF($A112&lt;2,"",(Stumpage*$B112-RegenCost*(1+DiscRate)^$A112)/((1+DiscRate)^$A112-1)-MgmtCost/DiscRate)</f>
        <v/>
      </c>
      <c r="F112" s="57">
        <f>Stumpage*$B112/(1+DiscRate)^$A112-RegenCost-MgmtCost*(1-(1+DiscRate)^-$A112)/DiscRate</f>
        <v/>
      </c>
    </row>
    <row r="113">
      <c r="A113" s="56" t="n">
        <v>102</v>
      </c>
      <c r="B113" s="57">
        <f>CR_a*(1-EXP(-CR_b*$A113))^CR_c</f>
        <v/>
      </c>
      <c r="C113" s="57">
        <f>$B113/$A113</f>
        <v/>
      </c>
      <c r="D113" s="57">
        <f>CR_a*CR_b*CR_c*(1-EXP(-CR_b*$A113))^(CR_c-1)*EXP(-CR_b*$A113)</f>
        <v/>
      </c>
      <c r="E113" s="57">
        <f>IF($A113&lt;2,"",(Stumpage*$B113-RegenCost*(1+DiscRate)^$A113)/((1+DiscRate)^$A113-1)-MgmtCost/DiscRate)</f>
        <v/>
      </c>
      <c r="F113" s="57">
        <f>Stumpage*$B113/(1+DiscRate)^$A113-RegenCost-MgmtCost*(1-(1+DiscRate)^-$A113)/DiscRate</f>
        <v/>
      </c>
    </row>
    <row r="114">
      <c r="A114" s="56" t="n">
        <v>103</v>
      </c>
      <c r="B114" s="57">
        <f>CR_a*(1-EXP(-CR_b*$A114))^CR_c</f>
        <v/>
      </c>
      <c r="C114" s="57">
        <f>$B114/$A114</f>
        <v/>
      </c>
      <c r="D114" s="57">
        <f>CR_a*CR_b*CR_c*(1-EXP(-CR_b*$A114))^(CR_c-1)*EXP(-CR_b*$A114)</f>
        <v/>
      </c>
      <c r="E114" s="57">
        <f>IF($A114&lt;2,"",(Stumpage*$B114-RegenCost*(1+DiscRate)^$A114)/((1+DiscRate)^$A114-1)-MgmtCost/DiscRate)</f>
        <v/>
      </c>
      <c r="F114" s="57">
        <f>Stumpage*$B114/(1+DiscRate)^$A114-RegenCost-MgmtCost*(1-(1+DiscRate)^-$A114)/DiscRate</f>
        <v/>
      </c>
    </row>
    <row r="115">
      <c r="A115" s="56" t="n">
        <v>104</v>
      </c>
      <c r="B115" s="57">
        <f>CR_a*(1-EXP(-CR_b*$A115))^CR_c</f>
        <v/>
      </c>
      <c r="C115" s="57">
        <f>$B115/$A115</f>
        <v/>
      </c>
      <c r="D115" s="57">
        <f>CR_a*CR_b*CR_c*(1-EXP(-CR_b*$A115))^(CR_c-1)*EXP(-CR_b*$A115)</f>
        <v/>
      </c>
      <c r="E115" s="57">
        <f>IF($A115&lt;2,"",(Stumpage*$B115-RegenCost*(1+DiscRate)^$A115)/((1+DiscRate)^$A115-1)-MgmtCost/DiscRate)</f>
        <v/>
      </c>
      <c r="F115" s="57">
        <f>Stumpage*$B115/(1+DiscRate)^$A115-RegenCost-MgmtCost*(1-(1+DiscRate)^-$A115)/DiscRate</f>
        <v/>
      </c>
    </row>
    <row r="116">
      <c r="A116" s="56" t="n">
        <v>105</v>
      </c>
      <c r="B116" s="57">
        <f>CR_a*(1-EXP(-CR_b*$A116))^CR_c</f>
        <v/>
      </c>
      <c r="C116" s="57">
        <f>$B116/$A116</f>
        <v/>
      </c>
      <c r="D116" s="57">
        <f>CR_a*CR_b*CR_c*(1-EXP(-CR_b*$A116))^(CR_c-1)*EXP(-CR_b*$A116)</f>
        <v/>
      </c>
      <c r="E116" s="57">
        <f>IF($A116&lt;2,"",(Stumpage*$B116-RegenCost*(1+DiscRate)^$A116)/((1+DiscRate)^$A116-1)-MgmtCost/DiscRate)</f>
        <v/>
      </c>
      <c r="F116" s="57">
        <f>Stumpage*$B116/(1+DiscRate)^$A116-RegenCost-MgmtCost*(1-(1+DiscRate)^-$A116)/DiscRate</f>
        <v/>
      </c>
    </row>
    <row r="117">
      <c r="A117" s="56" t="n">
        <v>106</v>
      </c>
      <c r="B117" s="57">
        <f>CR_a*(1-EXP(-CR_b*$A117))^CR_c</f>
        <v/>
      </c>
      <c r="C117" s="57">
        <f>$B117/$A117</f>
        <v/>
      </c>
      <c r="D117" s="57">
        <f>CR_a*CR_b*CR_c*(1-EXP(-CR_b*$A117))^(CR_c-1)*EXP(-CR_b*$A117)</f>
        <v/>
      </c>
      <c r="E117" s="57">
        <f>IF($A117&lt;2,"",(Stumpage*$B117-RegenCost*(1+DiscRate)^$A117)/((1+DiscRate)^$A117-1)-MgmtCost/DiscRate)</f>
        <v/>
      </c>
      <c r="F117" s="57">
        <f>Stumpage*$B117/(1+DiscRate)^$A117-RegenCost-MgmtCost*(1-(1+DiscRate)^-$A117)/DiscRate</f>
        <v/>
      </c>
    </row>
    <row r="118">
      <c r="A118" s="56" t="n">
        <v>107</v>
      </c>
      <c r="B118" s="57">
        <f>CR_a*(1-EXP(-CR_b*$A118))^CR_c</f>
        <v/>
      </c>
      <c r="C118" s="57">
        <f>$B118/$A118</f>
        <v/>
      </c>
      <c r="D118" s="57">
        <f>CR_a*CR_b*CR_c*(1-EXP(-CR_b*$A118))^(CR_c-1)*EXP(-CR_b*$A118)</f>
        <v/>
      </c>
      <c r="E118" s="57">
        <f>IF($A118&lt;2,"",(Stumpage*$B118-RegenCost*(1+DiscRate)^$A118)/((1+DiscRate)^$A118-1)-MgmtCost/DiscRate)</f>
        <v/>
      </c>
      <c r="F118" s="57">
        <f>Stumpage*$B118/(1+DiscRate)^$A118-RegenCost-MgmtCost*(1-(1+DiscRate)^-$A118)/DiscRate</f>
        <v/>
      </c>
    </row>
    <row r="119">
      <c r="A119" s="56" t="n">
        <v>108</v>
      </c>
      <c r="B119" s="57">
        <f>CR_a*(1-EXP(-CR_b*$A119))^CR_c</f>
        <v/>
      </c>
      <c r="C119" s="57">
        <f>$B119/$A119</f>
        <v/>
      </c>
      <c r="D119" s="57">
        <f>CR_a*CR_b*CR_c*(1-EXP(-CR_b*$A119))^(CR_c-1)*EXP(-CR_b*$A119)</f>
        <v/>
      </c>
      <c r="E119" s="57">
        <f>IF($A119&lt;2,"",(Stumpage*$B119-RegenCost*(1+DiscRate)^$A119)/((1+DiscRate)^$A119-1)-MgmtCost/DiscRate)</f>
        <v/>
      </c>
      <c r="F119" s="57">
        <f>Stumpage*$B119/(1+DiscRate)^$A119-RegenCost-MgmtCost*(1-(1+DiscRate)^-$A119)/DiscRate</f>
        <v/>
      </c>
    </row>
    <row r="120">
      <c r="A120" s="56" t="n">
        <v>109</v>
      </c>
      <c r="B120" s="57">
        <f>CR_a*(1-EXP(-CR_b*$A120))^CR_c</f>
        <v/>
      </c>
      <c r="C120" s="57">
        <f>$B120/$A120</f>
        <v/>
      </c>
      <c r="D120" s="57">
        <f>CR_a*CR_b*CR_c*(1-EXP(-CR_b*$A120))^(CR_c-1)*EXP(-CR_b*$A120)</f>
        <v/>
      </c>
      <c r="E120" s="57">
        <f>IF($A120&lt;2,"",(Stumpage*$B120-RegenCost*(1+DiscRate)^$A120)/((1+DiscRate)^$A120-1)-MgmtCost/DiscRate)</f>
        <v/>
      </c>
      <c r="F120" s="57">
        <f>Stumpage*$B120/(1+DiscRate)^$A120-RegenCost-MgmtCost*(1-(1+DiscRate)^-$A120)/DiscRate</f>
        <v/>
      </c>
    </row>
    <row r="121">
      <c r="A121" s="56" t="n">
        <v>110</v>
      </c>
      <c r="B121" s="57">
        <f>CR_a*(1-EXP(-CR_b*$A121))^CR_c</f>
        <v/>
      </c>
      <c r="C121" s="57">
        <f>$B121/$A121</f>
        <v/>
      </c>
      <c r="D121" s="57">
        <f>CR_a*CR_b*CR_c*(1-EXP(-CR_b*$A121))^(CR_c-1)*EXP(-CR_b*$A121)</f>
        <v/>
      </c>
      <c r="E121" s="57">
        <f>IF($A121&lt;2,"",(Stumpage*$B121-RegenCost*(1+DiscRate)^$A121)/((1+DiscRate)^$A121-1)-MgmtCost/DiscRate)</f>
        <v/>
      </c>
      <c r="F121" s="57">
        <f>Stumpage*$B121/(1+DiscRate)^$A121-RegenCost-MgmtCost*(1-(1+DiscRate)^-$A121)/DiscRate</f>
        <v/>
      </c>
    </row>
    <row r="122">
      <c r="A122" s="56" t="n">
        <v>111</v>
      </c>
      <c r="B122" s="57">
        <f>CR_a*(1-EXP(-CR_b*$A122))^CR_c</f>
        <v/>
      </c>
      <c r="C122" s="57">
        <f>$B122/$A122</f>
        <v/>
      </c>
      <c r="D122" s="57">
        <f>CR_a*CR_b*CR_c*(1-EXP(-CR_b*$A122))^(CR_c-1)*EXP(-CR_b*$A122)</f>
        <v/>
      </c>
      <c r="E122" s="57">
        <f>IF($A122&lt;2,"",(Stumpage*$B122-RegenCost*(1+DiscRate)^$A122)/((1+DiscRate)^$A122-1)-MgmtCost/DiscRate)</f>
        <v/>
      </c>
      <c r="F122" s="57">
        <f>Stumpage*$B122/(1+DiscRate)^$A122-RegenCost-MgmtCost*(1-(1+DiscRate)^-$A122)/DiscRate</f>
        <v/>
      </c>
    </row>
    <row r="123">
      <c r="A123" s="56" t="n">
        <v>112</v>
      </c>
      <c r="B123" s="57">
        <f>CR_a*(1-EXP(-CR_b*$A123))^CR_c</f>
        <v/>
      </c>
      <c r="C123" s="57">
        <f>$B123/$A123</f>
        <v/>
      </c>
      <c r="D123" s="57">
        <f>CR_a*CR_b*CR_c*(1-EXP(-CR_b*$A123))^(CR_c-1)*EXP(-CR_b*$A123)</f>
        <v/>
      </c>
      <c r="E123" s="57">
        <f>IF($A123&lt;2,"",(Stumpage*$B123-RegenCost*(1+DiscRate)^$A123)/((1+DiscRate)^$A123-1)-MgmtCost/DiscRate)</f>
        <v/>
      </c>
      <c r="F123" s="57">
        <f>Stumpage*$B123/(1+DiscRate)^$A123-RegenCost-MgmtCost*(1-(1+DiscRate)^-$A123)/DiscRate</f>
        <v/>
      </c>
    </row>
    <row r="124">
      <c r="A124" s="56" t="n">
        <v>113</v>
      </c>
      <c r="B124" s="57">
        <f>CR_a*(1-EXP(-CR_b*$A124))^CR_c</f>
        <v/>
      </c>
      <c r="C124" s="57">
        <f>$B124/$A124</f>
        <v/>
      </c>
      <c r="D124" s="57">
        <f>CR_a*CR_b*CR_c*(1-EXP(-CR_b*$A124))^(CR_c-1)*EXP(-CR_b*$A124)</f>
        <v/>
      </c>
      <c r="E124" s="57">
        <f>IF($A124&lt;2,"",(Stumpage*$B124-RegenCost*(1+DiscRate)^$A124)/((1+DiscRate)^$A124-1)-MgmtCost/DiscRate)</f>
        <v/>
      </c>
      <c r="F124" s="57">
        <f>Stumpage*$B124/(1+DiscRate)^$A124-RegenCost-MgmtCost*(1-(1+DiscRate)^-$A124)/DiscRate</f>
        <v/>
      </c>
    </row>
    <row r="125">
      <c r="A125" s="56" t="n">
        <v>114</v>
      </c>
      <c r="B125" s="57">
        <f>CR_a*(1-EXP(-CR_b*$A125))^CR_c</f>
        <v/>
      </c>
      <c r="C125" s="57">
        <f>$B125/$A125</f>
        <v/>
      </c>
      <c r="D125" s="57">
        <f>CR_a*CR_b*CR_c*(1-EXP(-CR_b*$A125))^(CR_c-1)*EXP(-CR_b*$A125)</f>
        <v/>
      </c>
      <c r="E125" s="57">
        <f>IF($A125&lt;2,"",(Stumpage*$B125-RegenCost*(1+DiscRate)^$A125)/((1+DiscRate)^$A125-1)-MgmtCost/DiscRate)</f>
        <v/>
      </c>
      <c r="F125" s="57">
        <f>Stumpage*$B125/(1+DiscRate)^$A125-RegenCost-MgmtCost*(1-(1+DiscRate)^-$A125)/DiscRate</f>
        <v/>
      </c>
    </row>
    <row r="126">
      <c r="A126" s="56" t="n">
        <v>115</v>
      </c>
      <c r="B126" s="57">
        <f>CR_a*(1-EXP(-CR_b*$A126))^CR_c</f>
        <v/>
      </c>
      <c r="C126" s="57">
        <f>$B126/$A126</f>
        <v/>
      </c>
      <c r="D126" s="57">
        <f>CR_a*CR_b*CR_c*(1-EXP(-CR_b*$A126))^(CR_c-1)*EXP(-CR_b*$A126)</f>
        <v/>
      </c>
      <c r="E126" s="57">
        <f>IF($A126&lt;2,"",(Stumpage*$B126-RegenCost*(1+DiscRate)^$A126)/((1+DiscRate)^$A126-1)-MgmtCost/DiscRate)</f>
        <v/>
      </c>
      <c r="F126" s="57">
        <f>Stumpage*$B126/(1+DiscRate)^$A126-RegenCost-MgmtCost*(1-(1+DiscRate)^-$A126)/DiscRate</f>
        <v/>
      </c>
    </row>
    <row r="127">
      <c r="A127" s="56" t="n">
        <v>116</v>
      </c>
      <c r="B127" s="57">
        <f>CR_a*(1-EXP(-CR_b*$A127))^CR_c</f>
        <v/>
      </c>
      <c r="C127" s="57">
        <f>$B127/$A127</f>
        <v/>
      </c>
      <c r="D127" s="57">
        <f>CR_a*CR_b*CR_c*(1-EXP(-CR_b*$A127))^(CR_c-1)*EXP(-CR_b*$A127)</f>
        <v/>
      </c>
      <c r="E127" s="57">
        <f>IF($A127&lt;2,"",(Stumpage*$B127-RegenCost*(1+DiscRate)^$A127)/((1+DiscRate)^$A127-1)-MgmtCost/DiscRate)</f>
        <v/>
      </c>
      <c r="F127" s="57">
        <f>Stumpage*$B127/(1+DiscRate)^$A127-RegenCost-MgmtCost*(1-(1+DiscRate)^-$A127)/DiscRate</f>
        <v/>
      </c>
    </row>
    <row r="128">
      <c r="A128" s="56" t="n">
        <v>117</v>
      </c>
      <c r="B128" s="57">
        <f>CR_a*(1-EXP(-CR_b*$A128))^CR_c</f>
        <v/>
      </c>
      <c r="C128" s="57">
        <f>$B128/$A128</f>
        <v/>
      </c>
      <c r="D128" s="57">
        <f>CR_a*CR_b*CR_c*(1-EXP(-CR_b*$A128))^(CR_c-1)*EXP(-CR_b*$A128)</f>
        <v/>
      </c>
      <c r="E128" s="57">
        <f>IF($A128&lt;2,"",(Stumpage*$B128-RegenCost*(1+DiscRate)^$A128)/((1+DiscRate)^$A128-1)-MgmtCost/DiscRate)</f>
        <v/>
      </c>
      <c r="F128" s="57">
        <f>Stumpage*$B128/(1+DiscRate)^$A128-RegenCost-MgmtCost*(1-(1+DiscRate)^-$A128)/DiscRate</f>
        <v/>
      </c>
    </row>
    <row r="129">
      <c r="A129" s="56" t="n">
        <v>118</v>
      </c>
      <c r="B129" s="57">
        <f>CR_a*(1-EXP(-CR_b*$A129))^CR_c</f>
        <v/>
      </c>
      <c r="C129" s="57">
        <f>$B129/$A129</f>
        <v/>
      </c>
      <c r="D129" s="57">
        <f>CR_a*CR_b*CR_c*(1-EXP(-CR_b*$A129))^(CR_c-1)*EXP(-CR_b*$A129)</f>
        <v/>
      </c>
      <c r="E129" s="57">
        <f>IF($A129&lt;2,"",(Stumpage*$B129-RegenCost*(1+DiscRate)^$A129)/((1+DiscRate)^$A129-1)-MgmtCost/DiscRate)</f>
        <v/>
      </c>
      <c r="F129" s="57">
        <f>Stumpage*$B129/(1+DiscRate)^$A129-RegenCost-MgmtCost*(1-(1+DiscRate)^-$A129)/DiscRate</f>
        <v/>
      </c>
    </row>
    <row r="130">
      <c r="A130" s="56" t="n">
        <v>119</v>
      </c>
      <c r="B130" s="57">
        <f>CR_a*(1-EXP(-CR_b*$A130))^CR_c</f>
        <v/>
      </c>
      <c r="C130" s="57">
        <f>$B130/$A130</f>
        <v/>
      </c>
      <c r="D130" s="57">
        <f>CR_a*CR_b*CR_c*(1-EXP(-CR_b*$A130))^(CR_c-1)*EXP(-CR_b*$A130)</f>
        <v/>
      </c>
      <c r="E130" s="57">
        <f>IF($A130&lt;2,"",(Stumpage*$B130-RegenCost*(1+DiscRate)^$A130)/((1+DiscRate)^$A130-1)-MgmtCost/DiscRate)</f>
        <v/>
      </c>
      <c r="F130" s="57">
        <f>Stumpage*$B130/(1+DiscRate)^$A130-RegenCost-MgmtCost*(1-(1+DiscRate)^-$A130)/DiscRate</f>
        <v/>
      </c>
    </row>
    <row r="131">
      <c r="A131" s="56" t="n">
        <v>120</v>
      </c>
      <c r="B131" s="57">
        <f>CR_a*(1-EXP(-CR_b*$A131))^CR_c</f>
        <v/>
      </c>
      <c r="C131" s="57">
        <f>$B131/$A131</f>
        <v/>
      </c>
      <c r="D131" s="57">
        <f>CR_a*CR_b*CR_c*(1-EXP(-CR_b*$A131))^(CR_c-1)*EXP(-CR_b*$A131)</f>
        <v/>
      </c>
      <c r="E131" s="57">
        <f>IF($A131&lt;2,"",(Stumpage*$B131-RegenCost*(1+DiscRate)^$A131)/((1+DiscRate)^$A131-1)-MgmtCost/DiscRate)</f>
        <v/>
      </c>
      <c r="F131" s="57">
        <f>Stumpage*$B131/(1+DiscRate)^$A131-RegenCost-MgmtCost*(1-(1+DiscRate)^-$A131)/DiscRate</f>
        <v/>
      </c>
    </row>
    <row r="132">
      <c r="A132" s="56" t="n">
        <v>121</v>
      </c>
      <c r="B132" s="57">
        <f>CR_a*(1-EXP(-CR_b*$A132))^CR_c</f>
        <v/>
      </c>
      <c r="C132" s="57">
        <f>$B132/$A132</f>
        <v/>
      </c>
      <c r="D132" s="57">
        <f>CR_a*CR_b*CR_c*(1-EXP(-CR_b*$A132))^(CR_c-1)*EXP(-CR_b*$A132)</f>
        <v/>
      </c>
      <c r="E132" s="57">
        <f>IF($A132&lt;2,"",(Stumpage*$B132-RegenCost*(1+DiscRate)^$A132)/((1+DiscRate)^$A132-1)-MgmtCost/DiscRate)</f>
        <v/>
      </c>
      <c r="F132" s="57">
        <f>Stumpage*$B132/(1+DiscRate)^$A132-RegenCost-MgmtCost*(1-(1+DiscRate)^-$A132)/DiscRate</f>
        <v/>
      </c>
    </row>
    <row r="133">
      <c r="A133" s="56" t="n">
        <v>122</v>
      </c>
      <c r="B133" s="57">
        <f>CR_a*(1-EXP(-CR_b*$A133))^CR_c</f>
        <v/>
      </c>
      <c r="C133" s="57">
        <f>$B133/$A133</f>
        <v/>
      </c>
      <c r="D133" s="57">
        <f>CR_a*CR_b*CR_c*(1-EXP(-CR_b*$A133))^(CR_c-1)*EXP(-CR_b*$A133)</f>
        <v/>
      </c>
      <c r="E133" s="57">
        <f>IF($A133&lt;2,"",(Stumpage*$B133-RegenCost*(1+DiscRate)^$A133)/((1+DiscRate)^$A133-1)-MgmtCost/DiscRate)</f>
        <v/>
      </c>
      <c r="F133" s="57">
        <f>Stumpage*$B133/(1+DiscRate)^$A133-RegenCost-MgmtCost*(1-(1+DiscRate)^-$A133)/DiscRate</f>
        <v/>
      </c>
    </row>
    <row r="134">
      <c r="A134" s="56" t="n">
        <v>123</v>
      </c>
      <c r="B134" s="57">
        <f>CR_a*(1-EXP(-CR_b*$A134))^CR_c</f>
        <v/>
      </c>
      <c r="C134" s="57">
        <f>$B134/$A134</f>
        <v/>
      </c>
      <c r="D134" s="57">
        <f>CR_a*CR_b*CR_c*(1-EXP(-CR_b*$A134))^(CR_c-1)*EXP(-CR_b*$A134)</f>
        <v/>
      </c>
      <c r="E134" s="57">
        <f>IF($A134&lt;2,"",(Stumpage*$B134-RegenCost*(1+DiscRate)^$A134)/((1+DiscRate)^$A134-1)-MgmtCost/DiscRate)</f>
        <v/>
      </c>
      <c r="F134" s="57">
        <f>Stumpage*$B134/(1+DiscRate)^$A134-RegenCost-MgmtCost*(1-(1+DiscRate)^-$A134)/DiscRate</f>
        <v/>
      </c>
    </row>
    <row r="135">
      <c r="A135" s="56" t="n">
        <v>124</v>
      </c>
      <c r="B135" s="57">
        <f>CR_a*(1-EXP(-CR_b*$A135))^CR_c</f>
        <v/>
      </c>
      <c r="C135" s="57">
        <f>$B135/$A135</f>
        <v/>
      </c>
      <c r="D135" s="57">
        <f>CR_a*CR_b*CR_c*(1-EXP(-CR_b*$A135))^(CR_c-1)*EXP(-CR_b*$A135)</f>
        <v/>
      </c>
      <c r="E135" s="57">
        <f>IF($A135&lt;2,"",(Stumpage*$B135-RegenCost*(1+DiscRate)^$A135)/((1+DiscRate)^$A135-1)-MgmtCost/DiscRate)</f>
        <v/>
      </c>
      <c r="F135" s="57">
        <f>Stumpage*$B135/(1+DiscRate)^$A135-RegenCost-MgmtCost*(1-(1+DiscRate)^-$A135)/DiscRate</f>
        <v/>
      </c>
    </row>
    <row r="136">
      <c r="A136" s="56" t="n">
        <v>125</v>
      </c>
      <c r="B136" s="57">
        <f>CR_a*(1-EXP(-CR_b*$A136))^CR_c</f>
        <v/>
      </c>
      <c r="C136" s="57">
        <f>$B136/$A136</f>
        <v/>
      </c>
      <c r="D136" s="57">
        <f>CR_a*CR_b*CR_c*(1-EXP(-CR_b*$A136))^(CR_c-1)*EXP(-CR_b*$A136)</f>
        <v/>
      </c>
      <c r="E136" s="57">
        <f>IF($A136&lt;2,"",(Stumpage*$B136-RegenCost*(1+DiscRate)^$A136)/((1+DiscRate)^$A136-1)-MgmtCost/DiscRate)</f>
        <v/>
      </c>
      <c r="F136" s="57">
        <f>Stumpage*$B136/(1+DiscRate)^$A136-RegenCost-MgmtCost*(1-(1+DiscRate)^-$A136)/DiscRate</f>
        <v/>
      </c>
    </row>
    <row r="137">
      <c r="A137" s="56" t="n">
        <v>126</v>
      </c>
      <c r="B137" s="57">
        <f>CR_a*(1-EXP(-CR_b*$A137))^CR_c</f>
        <v/>
      </c>
      <c r="C137" s="57">
        <f>$B137/$A137</f>
        <v/>
      </c>
      <c r="D137" s="57">
        <f>CR_a*CR_b*CR_c*(1-EXP(-CR_b*$A137))^(CR_c-1)*EXP(-CR_b*$A137)</f>
        <v/>
      </c>
      <c r="E137" s="57">
        <f>IF($A137&lt;2,"",(Stumpage*$B137-RegenCost*(1+DiscRate)^$A137)/((1+DiscRate)^$A137-1)-MgmtCost/DiscRate)</f>
        <v/>
      </c>
      <c r="F137" s="57">
        <f>Stumpage*$B137/(1+DiscRate)^$A137-RegenCost-MgmtCost*(1-(1+DiscRate)^-$A137)/DiscRate</f>
        <v/>
      </c>
    </row>
    <row r="138">
      <c r="A138" s="56" t="n">
        <v>127</v>
      </c>
      <c r="B138" s="57">
        <f>CR_a*(1-EXP(-CR_b*$A138))^CR_c</f>
        <v/>
      </c>
      <c r="C138" s="57">
        <f>$B138/$A138</f>
        <v/>
      </c>
      <c r="D138" s="57">
        <f>CR_a*CR_b*CR_c*(1-EXP(-CR_b*$A138))^(CR_c-1)*EXP(-CR_b*$A138)</f>
        <v/>
      </c>
      <c r="E138" s="57">
        <f>IF($A138&lt;2,"",(Stumpage*$B138-RegenCost*(1+DiscRate)^$A138)/((1+DiscRate)^$A138-1)-MgmtCost/DiscRate)</f>
        <v/>
      </c>
      <c r="F138" s="57">
        <f>Stumpage*$B138/(1+DiscRate)^$A138-RegenCost-MgmtCost*(1-(1+DiscRate)^-$A138)/DiscRate</f>
        <v/>
      </c>
    </row>
    <row r="139">
      <c r="A139" s="56" t="n">
        <v>128</v>
      </c>
      <c r="B139" s="57">
        <f>CR_a*(1-EXP(-CR_b*$A139))^CR_c</f>
        <v/>
      </c>
      <c r="C139" s="57">
        <f>$B139/$A139</f>
        <v/>
      </c>
      <c r="D139" s="57">
        <f>CR_a*CR_b*CR_c*(1-EXP(-CR_b*$A139))^(CR_c-1)*EXP(-CR_b*$A139)</f>
        <v/>
      </c>
      <c r="E139" s="57">
        <f>IF($A139&lt;2,"",(Stumpage*$B139-RegenCost*(1+DiscRate)^$A139)/((1+DiscRate)^$A139-1)-MgmtCost/DiscRate)</f>
        <v/>
      </c>
      <c r="F139" s="57">
        <f>Stumpage*$B139/(1+DiscRate)^$A139-RegenCost-MgmtCost*(1-(1+DiscRate)^-$A139)/DiscRate</f>
        <v/>
      </c>
    </row>
    <row r="140">
      <c r="A140" s="56" t="n">
        <v>129</v>
      </c>
      <c r="B140" s="57">
        <f>CR_a*(1-EXP(-CR_b*$A140))^CR_c</f>
        <v/>
      </c>
      <c r="C140" s="57">
        <f>$B140/$A140</f>
        <v/>
      </c>
      <c r="D140" s="57">
        <f>CR_a*CR_b*CR_c*(1-EXP(-CR_b*$A140))^(CR_c-1)*EXP(-CR_b*$A140)</f>
        <v/>
      </c>
      <c r="E140" s="57">
        <f>IF($A140&lt;2,"",(Stumpage*$B140-RegenCost*(1+DiscRate)^$A140)/((1+DiscRate)^$A140-1)-MgmtCost/DiscRate)</f>
        <v/>
      </c>
      <c r="F140" s="57">
        <f>Stumpage*$B140/(1+DiscRate)^$A140-RegenCost-MgmtCost*(1-(1+DiscRate)^-$A140)/DiscRate</f>
        <v/>
      </c>
    </row>
    <row r="141">
      <c r="A141" s="56" t="n">
        <v>130</v>
      </c>
      <c r="B141" s="57">
        <f>CR_a*(1-EXP(-CR_b*$A141))^CR_c</f>
        <v/>
      </c>
      <c r="C141" s="57">
        <f>$B141/$A141</f>
        <v/>
      </c>
      <c r="D141" s="57">
        <f>CR_a*CR_b*CR_c*(1-EXP(-CR_b*$A141))^(CR_c-1)*EXP(-CR_b*$A141)</f>
        <v/>
      </c>
      <c r="E141" s="57">
        <f>IF($A141&lt;2,"",(Stumpage*$B141-RegenCost*(1+DiscRate)^$A141)/((1+DiscRate)^$A141-1)-MgmtCost/DiscRate)</f>
        <v/>
      </c>
      <c r="F141" s="57">
        <f>Stumpage*$B141/(1+DiscRate)^$A141-RegenCost-MgmtCost*(1-(1+DiscRate)^-$A141)/DiscRate</f>
        <v/>
      </c>
    </row>
    <row r="142">
      <c r="A142" s="56" t="n">
        <v>131</v>
      </c>
      <c r="B142" s="57">
        <f>CR_a*(1-EXP(-CR_b*$A142))^CR_c</f>
        <v/>
      </c>
      <c r="C142" s="57">
        <f>$B142/$A142</f>
        <v/>
      </c>
      <c r="D142" s="57">
        <f>CR_a*CR_b*CR_c*(1-EXP(-CR_b*$A142))^(CR_c-1)*EXP(-CR_b*$A142)</f>
        <v/>
      </c>
      <c r="E142" s="57">
        <f>IF($A142&lt;2,"",(Stumpage*$B142-RegenCost*(1+DiscRate)^$A142)/((1+DiscRate)^$A142-1)-MgmtCost/DiscRate)</f>
        <v/>
      </c>
      <c r="F142" s="57">
        <f>Stumpage*$B142/(1+DiscRate)^$A142-RegenCost-MgmtCost*(1-(1+DiscRate)^-$A142)/DiscRate</f>
        <v/>
      </c>
    </row>
    <row r="143">
      <c r="A143" s="56" t="n">
        <v>132</v>
      </c>
      <c r="B143" s="57">
        <f>CR_a*(1-EXP(-CR_b*$A143))^CR_c</f>
        <v/>
      </c>
      <c r="C143" s="57">
        <f>$B143/$A143</f>
        <v/>
      </c>
      <c r="D143" s="57">
        <f>CR_a*CR_b*CR_c*(1-EXP(-CR_b*$A143))^(CR_c-1)*EXP(-CR_b*$A143)</f>
        <v/>
      </c>
      <c r="E143" s="57">
        <f>IF($A143&lt;2,"",(Stumpage*$B143-RegenCost*(1+DiscRate)^$A143)/((1+DiscRate)^$A143-1)-MgmtCost/DiscRate)</f>
        <v/>
      </c>
      <c r="F143" s="57">
        <f>Stumpage*$B143/(1+DiscRate)^$A143-RegenCost-MgmtCost*(1-(1+DiscRate)^-$A143)/DiscRate</f>
        <v/>
      </c>
    </row>
    <row r="144">
      <c r="A144" s="56" t="n">
        <v>133</v>
      </c>
      <c r="B144" s="57">
        <f>CR_a*(1-EXP(-CR_b*$A144))^CR_c</f>
        <v/>
      </c>
      <c r="C144" s="57">
        <f>$B144/$A144</f>
        <v/>
      </c>
      <c r="D144" s="57">
        <f>CR_a*CR_b*CR_c*(1-EXP(-CR_b*$A144))^(CR_c-1)*EXP(-CR_b*$A144)</f>
        <v/>
      </c>
      <c r="E144" s="57">
        <f>IF($A144&lt;2,"",(Stumpage*$B144-RegenCost*(1+DiscRate)^$A144)/((1+DiscRate)^$A144-1)-MgmtCost/DiscRate)</f>
        <v/>
      </c>
      <c r="F144" s="57">
        <f>Stumpage*$B144/(1+DiscRate)^$A144-RegenCost-MgmtCost*(1-(1+DiscRate)^-$A144)/DiscRate</f>
        <v/>
      </c>
    </row>
    <row r="145">
      <c r="A145" s="56" t="n">
        <v>134</v>
      </c>
      <c r="B145" s="57">
        <f>CR_a*(1-EXP(-CR_b*$A145))^CR_c</f>
        <v/>
      </c>
      <c r="C145" s="57">
        <f>$B145/$A145</f>
        <v/>
      </c>
      <c r="D145" s="57">
        <f>CR_a*CR_b*CR_c*(1-EXP(-CR_b*$A145))^(CR_c-1)*EXP(-CR_b*$A145)</f>
        <v/>
      </c>
      <c r="E145" s="57">
        <f>IF($A145&lt;2,"",(Stumpage*$B145-RegenCost*(1+DiscRate)^$A145)/((1+DiscRate)^$A145-1)-MgmtCost/DiscRate)</f>
        <v/>
      </c>
      <c r="F145" s="57">
        <f>Stumpage*$B145/(1+DiscRate)^$A145-RegenCost-MgmtCost*(1-(1+DiscRate)^-$A145)/DiscRate</f>
        <v/>
      </c>
    </row>
    <row r="146">
      <c r="A146" s="56" t="n">
        <v>135</v>
      </c>
      <c r="B146" s="57">
        <f>CR_a*(1-EXP(-CR_b*$A146))^CR_c</f>
        <v/>
      </c>
      <c r="C146" s="57">
        <f>$B146/$A146</f>
        <v/>
      </c>
      <c r="D146" s="57">
        <f>CR_a*CR_b*CR_c*(1-EXP(-CR_b*$A146))^(CR_c-1)*EXP(-CR_b*$A146)</f>
        <v/>
      </c>
      <c r="E146" s="57">
        <f>IF($A146&lt;2,"",(Stumpage*$B146-RegenCost*(1+DiscRate)^$A146)/((1+DiscRate)^$A146-1)-MgmtCost/DiscRate)</f>
        <v/>
      </c>
      <c r="F146" s="57">
        <f>Stumpage*$B146/(1+DiscRate)^$A146-RegenCost-MgmtCost*(1-(1+DiscRate)^-$A146)/DiscRate</f>
        <v/>
      </c>
    </row>
    <row r="147">
      <c r="A147" s="56" t="n">
        <v>136</v>
      </c>
      <c r="B147" s="57">
        <f>CR_a*(1-EXP(-CR_b*$A147))^CR_c</f>
        <v/>
      </c>
      <c r="C147" s="57">
        <f>$B147/$A147</f>
        <v/>
      </c>
      <c r="D147" s="57">
        <f>CR_a*CR_b*CR_c*(1-EXP(-CR_b*$A147))^(CR_c-1)*EXP(-CR_b*$A147)</f>
        <v/>
      </c>
      <c r="E147" s="57">
        <f>IF($A147&lt;2,"",(Stumpage*$B147-RegenCost*(1+DiscRate)^$A147)/((1+DiscRate)^$A147-1)-MgmtCost/DiscRate)</f>
        <v/>
      </c>
      <c r="F147" s="57">
        <f>Stumpage*$B147/(1+DiscRate)^$A147-RegenCost-MgmtCost*(1-(1+DiscRate)^-$A147)/DiscRate</f>
        <v/>
      </c>
    </row>
    <row r="148">
      <c r="A148" s="56" t="n">
        <v>137</v>
      </c>
      <c r="B148" s="57">
        <f>CR_a*(1-EXP(-CR_b*$A148))^CR_c</f>
        <v/>
      </c>
      <c r="C148" s="57">
        <f>$B148/$A148</f>
        <v/>
      </c>
      <c r="D148" s="57">
        <f>CR_a*CR_b*CR_c*(1-EXP(-CR_b*$A148))^(CR_c-1)*EXP(-CR_b*$A148)</f>
        <v/>
      </c>
      <c r="E148" s="57">
        <f>IF($A148&lt;2,"",(Stumpage*$B148-RegenCost*(1+DiscRate)^$A148)/((1+DiscRate)^$A148-1)-MgmtCost/DiscRate)</f>
        <v/>
      </c>
      <c r="F148" s="57">
        <f>Stumpage*$B148/(1+DiscRate)^$A148-RegenCost-MgmtCost*(1-(1+DiscRate)^-$A148)/DiscRate</f>
        <v/>
      </c>
    </row>
    <row r="149">
      <c r="A149" s="56" t="n">
        <v>138</v>
      </c>
      <c r="B149" s="57">
        <f>CR_a*(1-EXP(-CR_b*$A149))^CR_c</f>
        <v/>
      </c>
      <c r="C149" s="57">
        <f>$B149/$A149</f>
        <v/>
      </c>
      <c r="D149" s="57">
        <f>CR_a*CR_b*CR_c*(1-EXP(-CR_b*$A149))^(CR_c-1)*EXP(-CR_b*$A149)</f>
        <v/>
      </c>
      <c r="E149" s="57">
        <f>IF($A149&lt;2,"",(Stumpage*$B149-RegenCost*(1+DiscRate)^$A149)/((1+DiscRate)^$A149-1)-MgmtCost/DiscRate)</f>
        <v/>
      </c>
      <c r="F149" s="57">
        <f>Stumpage*$B149/(1+DiscRate)^$A149-RegenCost-MgmtCost*(1-(1+DiscRate)^-$A149)/DiscRate</f>
        <v/>
      </c>
    </row>
    <row r="150">
      <c r="A150" s="56" t="n">
        <v>139</v>
      </c>
      <c r="B150" s="57">
        <f>CR_a*(1-EXP(-CR_b*$A150))^CR_c</f>
        <v/>
      </c>
      <c r="C150" s="57">
        <f>$B150/$A150</f>
        <v/>
      </c>
      <c r="D150" s="57">
        <f>CR_a*CR_b*CR_c*(1-EXP(-CR_b*$A150))^(CR_c-1)*EXP(-CR_b*$A150)</f>
        <v/>
      </c>
      <c r="E150" s="57">
        <f>IF($A150&lt;2,"",(Stumpage*$B150-RegenCost*(1+DiscRate)^$A150)/((1+DiscRate)^$A150-1)-MgmtCost/DiscRate)</f>
        <v/>
      </c>
      <c r="F150" s="57">
        <f>Stumpage*$B150/(1+DiscRate)^$A150-RegenCost-MgmtCost*(1-(1+DiscRate)^-$A150)/DiscRate</f>
        <v/>
      </c>
    </row>
    <row r="151">
      <c r="A151" s="56" t="n">
        <v>140</v>
      </c>
      <c r="B151" s="57">
        <f>CR_a*(1-EXP(-CR_b*$A151))^CR_c</f>
        <v/>
      </c>
      <c r="C151" s="57">
        <f>$B151/$A151</f>
        <v/>
      </c>
      <c r="D151" s="57">
        <f>CR_a*CR_b*CR_c*(1-EXP(-CR_b*$A151))^(CR_c-1)*EXP(-CR_b*$A151)</f>
        <v/>
      </c>
      <c r="E151" s="57">
        <f>IF($A151&lt;2,"",(Stumpage*$B151-RegenCost*(1+DiscRate)^$A151)/((1+DiscRate)^$A151-1)-MgmtCost/DiscRate)</f>
        <v/>
      </c>
      <c r="F151" s="57">
        <f>Stumpage*$B151/(1+DiscRate)^$A151-RegenCost-MgmtCost*(1-(1+DiscRate)^-$A151)/DiscRate</f>
        <v/>
      </c>
    </row>
    <row r="152">
      <c r="A152" s="56" t="n">
        <v>141</v>
      </c>
      <c r="B152" s="57">
        <f>CR_a*(1-EXP(-CR_b*$A152))^CR_c</f>
        <v/>
      </c>
      <c r="C152" s="57">
        <f>$B152/$A152</f>
        <v/>
      </c>
      <c r="D152" s="57">
        <f>CR_a*CR_b*CR_c*(1-EXP(-CR_b*$A152))^(CR_c-1)*EXP(-CR_b*$A152)</f>
        <v/>
      </c>
      <c r="E152" s="57">
        <f>IF($A152&lt;2,"",(Stumpage*$B152-RegenCost*(1+DiscRate)^$A152)/((1+DiscRate)^$A152-1)-MgmtCost/DiscRate)</f>
        <v/>
      </c>
      <c r="F152" s="57">
        <f>Stumpage*$B152/(1+DiscRate)^$A152-RegenCost-MgmtCost*(1-(1+DiscRate)^-$A152)/DiscRate</f>
        <v/>
      </c>
    </row>
    <row r="153">
      <c r="A153" s="56" t="n">
        <v>142</v>
      </c>
      <c r="B153" s="57">
        <f>CR_a*(1-EXP(-CR_b*$A153))^CR_c</f>
        <v/>
      </c>
      <c r="C153" s="57">
        <f>$B153/$A153</f>
        <v/>
      </c>
      <c r="D153" s="57">
        <f>CR_a*CR_b*CR_c*(1-EXP(-CR_b*$A153))^(CR_c-1)*EXP(-CR_b*$A153)</f>
        <v/>
      </c>
      <c r="E153" s="57">
        <f>IF($A153&lt;2,"",(Stumpage*$B153-RegenCost*(1+DiscRate)^$A153)/((1+DiscRate)^$A153-1)-MgmtCost/DiscRate)</f>
        <v/>
      </c>
      <c r="F153" s="57">
        <f>Stumpage*$B153/(1+DiscRate)^$A153-RegenCost-MgmtCost*(1-(1+DiscRate)^-$A153)/DiscRate</f>
        <v/>
      </c>
    </row>
    <row r="154">
      <c r="A154" s="56" t="n">
        <v>143</v>
      </c>
      <c r="B154" s="57">
        <f>CR_a*(1-EXP(-CR_b*$A154))^CR_c</f>
        <v/>
      </c>
      <c r="C154" s="57">
        <f>$B154/$A154</f>
        <v/>
      </c>
      <c r="D154" s="57">
        <f>CR_a*CR_b*CR_c*(1-EXP(-CR_b*$A154))^(CR_c-1)*EXP(-CR_b*$A154)</f>
        <v/>
      </c>
      <c r="E154" s="57">
        <f>IF($A154&lt;2,"",(Stumpage*$B154-RegenCost*(1+DiscRate)^$A154)/((1+DiscRate)^$A154-1)-MgmtCost/DiscRate)</f>
        <v/>
      </c>
      <c r="F154" s="57">
        <f>Stumpage*$B154/(1+DiscRate)^$A154-RegenCost-MgmtCost*(1-(1+DiscRate)^-$A154)/DiscRate</f>
        <v/>
      </c>
    </row>
    <row r="155">
      <c r="A155" s="56" t="n">
        <v>144</v>
      </c>
      <c r="B155" s="57">
        <f>CR_a*(1-EXP(-CR_b*$A155))^CR_c</f>
        <v/>
      </c>
      <c r="C155" s="57">
        <f>$B155/$A155</f>
        <v/>
      </c>
      <c r="D155" s="57">
        <f>CR_a*CR_b*CR_c*(1-EXP(-CR_b*$A155))^(CR_c-1)*EXP(-CR_b*$A155)</f>
        <v/>
      </c>
      <c r="E155" s="57">
        <f>IF($A155&lt;2,"",(Stumpage*$B155-RegenCost*(1+DiscRate)^$A155)/((1+DiscRate)^$A155-1)-MgmtCost/DiscRate)</f>
        <v/>
      </c>
      <c r="F155" s="57">
        <f>Stumpage*$B155/(1+DiscRate)^$A155-RegenCost-MgmtCost*(1-(1+DiscRate)^-$A155)/DiscRate</f>
        <v/>
      </c>
    </row>
    <row r="156">
      <c r="A156" s="56" t="n">
        <v>145</v>
      </c>
      <c r="B156" s="57">
        <f>CR_a*(1-EXP(-CR_b*$A156))^CR_c</f>
        <v/>
      </c>
      <c r="C156" s="57">
        <f>$B156/$A156</f>
        <v/>
      </c>
      <c r="D156" s="57">
        <f>CR_a*CR_b*CR_c*(1-EXP(-CR_b*$A156))^(CR_c-1)*EXP(-CR_b*$A156)</f>
        <v/>
      </c>
      <c r="E156" s="57">
        <f>IF($A156&lt;2,"",(Stumpage*$B156-RegenCost*(1+DiscRate)^$A156)/((1+DiscRate)^$A156-1)-MgmtCost/DiscRate)</f>
        <v/>
      </c>
      <c r="F156" s="57">
        <f>Stumpage*$B156/(1+DiscRate)^$A156-RegenCost-MgmtCost*(1-(1+DiscRate)^-$A156)/DiscRate</f>
        <v/>
      </c>
    </row>
    <row r="157">
      <c r="A157" s="56" t="n">
        <v>146</v>
      </c>
      <c r="B157" s="57">
        <f>CR_a*(1-EXP(-CR_b*$A157))^CR_c</f>
        <v/>
      </c>
      <c r="C157" s="57">
        <f>$B157/$A157</f>
        <v/>
      </c>
      <c r="D157" s="57">
        <f>CR_a*CR_b*CR_c*(1-EXP(-CR_b*$A157))^(CR_c-1)*EXP(-CR_b*$A157)</f>
        <v/>
      </c>
      <c r="E157" s="57">
        <f>IF($A157&lt;2,"",(Stumpage*$B157-RegenCost*(1+DiscRate)^$A157)/((1+DiscRate)^$A157-1)-MgmtCost/DiscRate)</f>
        <v/>
      </c>
      <c r="F157" s="57">
        <f>Stumpage*$B157/(1+DiscRate)^$A157-RegenCost-MgmtCost*(1-(1+DiscRate)^-$A157)/DiscRate</f>
        <v/>
      </c>
    </row>
    <row r="158">
      <c r="A158" s="56" t="n">
        <v>147</v>
      </c>
      <c r="B158" s="57">
        <f>CR_a*(1-EXP(-CR_b*$A158))^CR_c</f>
        <v/>
      </c>
      <c r="C158" s="57">
        <f>$B158/$A158</f>
        <v/>
      </c>
      <c r="D158" s="57">
        <f>CR_a*CR_b*CR_c*(1-EXP(-CR_b*$A158))^(CR_c-1)*EXP(-CR_b*$A158)</f>
        <v/>
      </c>
      <c r="E158" s="57">
        <f>IF($A158&lt;2,"",(Stumpage*$B158-RegenCost*(1+DiscRate)^$A158)/((1+DiscRate)^$A158-1)-MgmtCost/DiscRate)</f>
        <v/>
      </c>
      <c r="F158" s="57">
        <f>Stumpage*$B158/(1+DiscRate)^$A158-RegenCost-MgmtCost*(1-(1+DiscRate)^-$A158)/DiscRate</f>
        <v/>
      </c>
    </row>
    <row r="159">
      <c r="A159" s="56" t="n">
        <v>148</v>
      </c>
      <c r="B159" s="57">
        <f>CR_a*(1-EXP(-CR_b*$A159))^CR_c</f>
        <v/>
      </c>
      <c r="C159" s="57">
        <f>$B159/$A159</f>
        <v/>
      </c>
      <c r="D159" s="57">
        <f>CR_a*CR_b*CR_c*(1-EXP(-CR_b*$A159))^(CR_c-1)*EXP(-CR_b*$A159)</f>
        <v/>
      </c>
      <c r="E159" s="57">
        <f>IF($A159&lt;2,"",(Stumpage*$B159-RegenCost*(1+DiscRate)^$A159)/((1+DiscRate)^$A159-1)-MgmtCost/DiscRate)</f>
        <v/>
      </c>
      <c r="F159" s="57">
        <f>Stumpage*$B159/(1+DiscRate)^$A159-RegenCost-MgmtCost*(1-(1+DiscRate)^-$A159)/DiscRate</f>
        <v/>
      </c>
    </row>
    <row r="160">
      <c r="A160" s="56" t="n">
        <v>149</v>
      </c>
      <c r="B160" s="57">
        <f>CR_a*(1-EXP(-CR_b*$A160))^CR_c</f>
        <v/>
      </c>
      <c r="C160" s="57">
        <f>$B160/$A160</f>
        <v/>
      </c>
      <c r="D160" s="57">
        <f>CR_a*CR_b*CR_c*(1-EXP(-CR_b*$A160))^(CR_c-1)*EXP(-CR_b*$A160)</f>
        <v/>
      </c>
      <c r="E160" s="57">
        <f>IF($A160&lt;2,"",(Stumpage*$B160-RegenCost*(1+DiscRate)^$A160)/((1+DiscRate)^$A160-1)-MgmtCost/DiscRate)</f>
        <v/>
      </c>
      <c r="F160" s="57">
        <f>Stumpage*$B160/(1+DiscRate)^$A160-RegenCost-MgmtCost*(1-(1+DiscRate)^-$A160)/DiscRate</f>
        <v/>
      </c>
    </row>
    <row r="161">
      <c r="A161" s="56" t="n">
        <v>150</v>
      </c>
      <c r="B161" s="57">
        <f>CR_a*(1-EXP(-CR_b*$A161))^CR_c</f>
        <v/>
      </c>
      <c r="C161" s="57">
        <f>$B161/$A161</f>
        <v/>
      </c>
      <c r="D161" s="57">
        <f>CR_a*CR_b*CR_c*(1-EXP(-CR_b*$A161))^(CR_c-1)*EXP(-CR_b*$A161)</f>
        <v/>
      </c>
      <c r="E161" s="57">
        <f>IF($A161&lt;2,"",(Stumpage*$B161-RegenCost*(1+DiscRate)^$A161)/((1+DiscRate)^$A161-1)-MgmtCost/DiscRate)</f>
        <v/>
      </c>
      <c r="F161" s="57">
        <f>Stumpage*$B161/(1+DiscRate)^$A161-RegenCost-MgmtCost*(1-(1+DiscRate)^-$A161)/DiscRate</f>
        <v/>
      </c>
    </row>
  </sheetData>
  <mergeCells count="3">
    <mergeCell ref="A3:G3"/>
    <mergeCell ref="A2:G2"/>
    <mergeCell ref="A1:G1"/>
  </mergeCells>
  <printOptions horizontalCentered="1"/>
  <pageMargins left="0.75" right="0.75" top="1" bottom="1" header="0.5" footer="0.5"/>
  <pageSetup orientation="landscape" fitToHeight="0" fitToWidth="1"/>
  <headerFooter>
    <oddHeader/>
    <oddFooter>&amp;L&amp;8 HYPOTHETICAL TRACT, FOR PORTFOLIO PURPOSES ONLY. NOT INVESTMENT ADVICE.&amp;R&amp;8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L208"/>
  <sheetViews>
    <sheetView workbookViewId="0">
      <pane ySplit="7" topLeftCell="A8" activePane="bottomLeft" state="frozen"/>
      <selection pane="bottomLeft" activeCell="A1" sqref="A1"/>
    </sheetView>
  </sheetViews>
  <sheetFormatPr baseColWidth="8" defaultRowHeight="15"/>
  <cols>
    <col width="10" customWidth="1" min="1" max="1"/>
    <col width="12" customWidth="1" min="2" max="2"/>
    <col width="19" customWidth="1" min="3" max="3"/>
    <col width="20" customWidth="1" min="4" max="4"/>
    <col width="20" customWidth="1" min="5" max="5"/>
    <col width="18" customWidth="1" min="6" max="6"/>
  </cols>
  <sheetData>
    <row r="1" ht="27" customHeight="1">
      <c r="A1" s="26" t="inlineStr">
        <is>
          <t>Harvest schedule and age-class structure</t>
        </is>
      </c>
    </row>
    <row r="2">
      <c r="A2" s="27" t="inlineStr">
        <is>
          <t>Hectares by age come from the cohort simulation in src/dcf.py. Volumes and values beside them are live formulas.</t>
        </is>
      </c>
    </row>
    <row r="3">
      <c r="A3" s="28" t="inlineStr">
        <is>
          <t>HYPOTHETICAL TRACT, FOR PORTFOLIO PURPOSES ONLY. NOT INVESTMENT ADVICE.</t>
        </is>
      </c>
    </row>
    <row r="5">
      <c r="A5" s="48" t="inlineStr">
        <is>
          <t>Opening age-class distribution (acquisition)</t>
        </is>
      </c>
    </row>
    <row r="6">
      <c r="A6" s="6" t="inlineStr">
        <is>
          <t>Hectares are spread evenly across the ten single years inside each class. Because the yield curve is convex, the average volume across those ten ages is not the volume at the midpoint age, so column D averages the live growth table rather than evaluating the curve once.</t>
        </is>
      </c>
    </row>
    <row r="7" ht="30" customHeight="1">
      <c r="A7" s="7" t="inlineStr">
        <is>
          <t>Age class</t>
        </is>
      </c>
      <c r="B7" s="7" t="inlineStr">
        <is>
          <t>Hectares</t>
        </is>
      </c>
      <c r="C7" s="7" t="inlineStr">
        <is>
          <t>Ages included</t>
        </is>
      </c>
      <c r="D7" s="7" t="inlineStr">
        <is>
          <t>Average volume per ha (m³)</t>
        </is>
      </c>
      <c r="E7" s="7" t="inlineStr">
        <is>
          <t>Standing volume (m³)</t>
        </is>
      </c>
    </row>
    <row r="8">
      <c r="A8" s="8" t="inlineStr">
        <is>
          <t>0-9</t>
        </is>
      </c>
      <c r="B8" s="44" t="n">
        <v>900</v>
      </c>
      <c r="C8" s="8" t="inlineStr">
        <is>
          <t>0-9</t>
        </is>
      </c>
      <c r="D8" s="58">
        <f>SUM(Growth_Rotation!$B$12:$B$20)/10</f>
        <v/>
      </c>
      <c r="E8" s="59">
        <f>$B8*$D8</f>
        <v/>
      </c>
    </row>
    <row r="9">
      <c r="A9" s="8" t="inlineStr">
        <is>
          <t>10-19</t>
        </is>
      </c>
      <c r="B9" s="44" t="n">
        <v>1100</v>
      </c>
      <c r="C9" s="8" t="inlineStr">
        <is>
          <t>10-19</t>
        </is>
      </c>
      <c r="D9" s="58">
        <f>SUM(Growth_Rotation!$B$21:$B$30)/10</f>
        <v/>
      </c>
      <c r="E9" s="59">
        <f>$B9*$D9</f>
        <v/>
      </c>
    </row>
    <row r="10">
      <c r="A10" s="8" t="inlineStr">
        <is>
          <t>20-29</t>
        </is>
      </c>
      <c r="B10" s="44" t="n">
        <v>1400</v>
      </c>
      <c r="C10" s="8" t="inlineStr">
        <is>
          <t>20-29</t>
        </is>
      </c>
      <c r="D10" s="58">
        <f>SUM(Growth_Rotation!$B$31:$B$40)/10</f>
        <v/>
      </c>
      <c r="E10" s="59">
        <f>$B10*$D10</f>
        <v/>
      </c>
    </row>
    <row r="11">
      <c r="A11" s="8" t="inlineStr">
        <is>
          <t>30-39</t>
        </is>
      </c>
      <c r="B11" s="44" t="n">
        <v>1700</v>
      </c>
      <c r="C11" s="8" t="inlineStr">
        <is>
          <t>30-39</t>
        </is>
      </c>
      <c r="D11" s="58">
        <f>SUM(Growth_Rotation!$B$41:$B$50)/10</f>
        <v/>
      </c>
      <c r="E11" s="59">
        <f>$B11*$D11</f>
        <v/>
      </c>
    </row>
    <row r="12">
      <c r="A12" s="8" t="inlineStr">
        <is>
          <t>40-49</t>
        </is>
      </c>
      <c r="B12" s="44" t="n">
        <v>2000</v>
      </c>
      <c r="C12" s="8" t="inlineStr">
        <is>
          <t>40-49</t>
        </is>
      </c>
      <c r="D12" s="58">
        <f>SUM(Growth_Rotation!$B$51:$B$60)/10</f>
        <v/>
      </c>
      <c r="E12" s="59">
        <f>$B12*$D12</f>
        <v/>
      </c>
    </row>
    <row r="13">
      <c r="A13" s="8" t="inlineStr">
        <is>
          <t>50-59</t>
        </is>
      </c>
      <c r="B13" s="44" t="n">
        <v>2600</v>
      </c>
      <c r="C13" s="8" t="inlineStr">
        <is>
          <t>50-59</t>
        </is>
      </c>
      <c r="D13" s="58">
        <f>SUM(Growth_Rotation!$B$61:$B$70)/10</f>
        <v/>
      </c>
      <c r="E13" s="59">
        <f>$B13*$D13</f>
        <v/>
      </c>
    </row>
    <row r="14">
      <c r="A14" s="8" t="inlineStr">
        <is>
          <t>60-69</t>
        </is>
      </c>
      <c r="B14" s="44" t="n">
        <v>3400</v>
      </c>
      <c r="C14" s="8" t="inlineStr">
        <is>
          <t>60-69</t>
        </is>
      </c>
      <c r="D14" s="58">
        <f>SUM(Growth_Rotation!$B$71:$B$80)/10</f>
        <v/>
      </c>
      <c r="E14" s="59">
        <f>$B14*$D14</f>
        <v/>
      </c>
    </row>
    <row r="15">
      <c r="A15" s="8" t="inlineStr">
        <is>
          <t>70-79</t>
        </is>
      </c>
      <c r="B15" s="44" t="n">
        <v>3200</v>
      </c>
      <c r="C15" s="8" t="inlineStr">
        <is>
          <t>70-79</t>
        </is>
      </c>
      <c r="D15" s="58">
        <f>SUM(Growth_Rotation!$B$81:$B$90)/10</f>
        <v/>
      </c>
      <c r="E15" s="59">
        <f>$B15*$D15</f>
        <v/>
      </c>
    </row>
    <row r="16">
      <c r="A16" s="8" t="inlineStr">
        <is>
          <t>80-89</t>
        </is>
      </c>
      <c r="B16" s="44" t="n">
        <v>2300</v>
      </c>
      <c r="C16" s="8" t="inlineStr">
        <is>
          <t>80-89</t>
        </is>
      </c>
      <c r="D16" s="58">
        <f>SUM(Growth_Rotation!$B$91:$B$100)/10</f>
        <v/>
      </c>
      <c r="E16" s="59">
        <f>$B16*$D16</f>
        <v/>
      </c>
    </row>
    <row r="17">
      <c r="A17" s="8" t="inlineStr">
        <is>
          <t>90-99</t>
        </is>
      </c>
      <c r="B17" s="44" t="n">
        <v>1400</v>
      </c>
      <c r="C17" s="8" t="inlineStr">
        <is>
          <t>90-99</t>
        </is>
      </c>
      <c r="D17" s="58">
        <f>SUM(Growth_Rotation!$B$101:$B$110)/10</f>
        <v/>
      </c>
      <c r="E17" s="59">
        <f>$B17*$D17</f>
        <v/>
      </c>
    </row>
    <row r="18">
      <c r="A18" s="60" t="inlineStr">
        <is>
          <t>Total</t>
        </is>
      </c>
      <c r="B18" s="61">
        <f>SUM(B8:B17)</f>
        <v/>
      </c>
      <c r="E18" s="62">
        <f>SUM(E8:E17)</f>
        <v/>
      </c>
      <c r="F18" s="6" t="inlineStr">
        <is>
          <t>← opening inventory, m³</t>
        </is>
      </c>
    </row>
    <row r="20">
      <c r="A20" s="48" t="inlineStr">
        <is>
          <t>Annual harvest (values from the cohort simulation)</t>
        </is>
      </c>
    </row>
    <row r="21" ht="30" customHeight="1">
      <c r="A21" s="7" t="inlineStr">
        <is>
          <t>Year</t>
        </is>
      </c>
      <c r="B21" s="7" t="inlineStr">
        <is>
          <t>Harvest volume (m³)</t>
        </is>
      </c>
      <c r="C21" s="7" t="inlineStr">
        <is>
          <t>Area cut (ha)</t>
        </is>
      </c>
      <c r="D21" s="7" t="inlineStr">
        <is>
          <t>Lower even-flow bound</t>
        </is>
      </c>
      <c r="E21" s="7" t="inlineStr">
        <is>
          <t>Upper even-flow bound</t>
        </is>
      </c>
    </row>
    <row r="22">
      <c r="A22" s="56" t="n">
        <v>1</v>
      </c>
      <c r="B22" s="44" t="n">
        <v>155918.5721402322</v>
      </c>
      <c r="C22" s="46" t="n">
        <v>522.7780587943886</v>
      </c>
      <c r="D22" s="59">
        <f>AVERAGE($B$22:$B$51)*(1-EvenFlowTol)</f>
        <v/>
      </c>
      <c r="E22" s="59">
        <f>AVERAGE($B$22:$B$51)*(1+EvenFlowTol)</f>
        <v/>
      </c>
    </row>
    <row r="23">
      <c r="A23" s="56" t="n">
        <v>2</v>
      </c>
      <c r="B23" s="44" t="n">
        <v>155918.5721402322</v>
      </c>
      <c r="C23" s="46" t="n">
        <v>530.2193404530806</v>
      </c>
      <c r="D23" s="59">
        <f>AVERAGE($B$22:$B$51)*(1-EvenFlowTol)</f>
        <v/>
      </c>
      <c r="E23" s="59">
        <f>AVERAGE($B$22:$B$51)*(1+EvenFlowTol)</f>
        <v/>
      </c>
    </row>
    <row r="24">
      <c r="A24" s="56" t="n">
        <v>3</v>
      </c>
      <c r="B24" s="44" t="n">
        <v>155918.5721402322</v>
      </c>
      <c r="C24" s="46" t="n">
        <v>538.3465237348952</v>
      </c>
      <c r="D24" s="59">
        <f>AVERAGE($B$22:$B$51)*(1-EvenFlowTol)</f>
        <v/>
      </c>
      <c r="E24" s="59">
        <f>AVERAGE($B$22:$B$51)*(1+EvenFlowTol)</f>
        <v/>
      </c>
    </row>
    <row r="25">
      <c r="A25" s="56" t="n">
        <v>4</v>
      </c>
      <c r="B25" s="44" t="n">
        <v>155918.5721402322</v>
      </c>
      <c r="C25" s="46" t="n">
        <v>543.7698628518249</v>
      </c>
      <c r="D25" s="59">
        <f>AVERAGE($B$22:$B$51)*(1-EvenFlowTol)</f>
        <v/>
      </c>
      <c r="E25" s="59">
        <f>AVERAGE($B$22:$B$51)*(1+EvenFlowTol)</f>
        <v/>
      </c>
    </row>
    <row r="26">
      <c r="A26" s="56" t="n">
        <v>5</v>
      </c>
      <c r="B26" s="44" t="n">
        <v>155918.5721402322</v>
      </c>
      <c r="C26" s="46" t="n">
        <v>548.5674960265178</v>
      </c>
      <c r="D26" s="59">
        <f>AVERAGE($B$22:$B$51)*(1-EvenFlowTol)</f>
        <v/>
      </c>
      <c r="E26" s="59">
        <f>AVERAGE($B$22:$B$51)*(1+EvenFlowTol)</f>
        <v/>
      </c>
    </row>
    <row r="27">
      <c r="A27" s="56" t="n">
        <v>6</v>
      </c>
      <c r="B27" s="44" t="n">
        <v>155918.5721402322</v>
      </c>
      <c r="C27" s="46" t="n">
        <v>553.4053165213254</v>
      </c>
      <c r="D27" s="59">
        <f>AVERAGE($B$22:$B$51)*(1-EvenFlowTol)</f>
        <v/>
      </c>
      <c r="E27" s="59">
        <f>AVERAGE($B$22:$B$51)*(1+EvenFlowTol)</f>
        <v/>
      </c>
    </row>
    <row r="28">
      <c r="A28" s="56" t="n">
        <v>7</v>
      </c>
      <c r="B28" s="44" t="n">
        <v>155918.5721402322</v>
      </c>
      <c r="C28" s="46" t="n">
        <v>559.2325357457656</v>
      </c>
      <c r="D28" s="59">
        <f>AVERAGE($B$22:$B$51)*(1-EvenFlowTol)</f>
        <v/>
      </c>
      <c r="E28" s="59">
        <f>AVERAGE($B$22:$B$51)*(1+EvenFlowTol)</f>
        <v/>
      </c>
    </row>
    <row r="29">
      <c r="A29" s="56" t="n">
        <v>8</v>
      </c>
      <c r="B29" s="44" t="n">
        <v>155918.5721402322</v>
      </c>
      <c r="C29" s="46" t="n">
        <v>562.7936745664756</v>
      </c>
      <c r="D29" s="59">
        <f>AVERAGE($B$22:$B$51)*(1-EvenFlowTol)</f>
        <v/>
      </c>
      <c r="E29" s="59">
        <f>AVERAGE($B$22:$B$51)*(1+EvenFlowTol)</f>
        <v/>
      </c>
    </row>
    <row r="30">
      <c r="A30" s="56" t="n">
        <v>9</v>
      </c>
      <c r="B30" s="44" t="n">
        <v>155918.5721402322</v>
      </c>
      <c r="C30" s="46" t="n">
        <v>566.2636526947006</v>
      </c>
      <c r="D30" s="59">
        <f>AVERAGE($B$22:$B$51)*(1-EvenFlowTol)</f>
        <v/>
      </c>
      <c r="E30" s="59">
        <f>AVERAGE($B$22:$B$51)*(1+EvenFlowTol)</f>
        <v/>
      </c>
    </row>
    <row r="31">
      <c r="A31" s="56" t="n">
        <v>10</v>
      </c>
      <c r="B31" s="44" t="n">
        <v>155918.5721402322</v>
      </c>
      <c r="C31" s="46" t="n">
        <v>569.6225774783218</v>
      </c>
      <c r="D31" s="59">
        <f>AVERAGE($B$22:$B$51)*(1-EvenFlowTol)</f>
        <v/>
      </c>
      <c r="E31" s="59">
        <f>AVERAGE($B$22:$B$51)*(1+EvenFlowTol)</f>
        <v/>
      </c>
    </row>
    <row r="32">
      <c r="A32" s="56" t="n">
        <v>11</v>
      </c>
      <c r="B32" s="44" t="n">
        <v>155918.5721402322</v>
      </c>
      <c r="C32" s="46" t="n">
        <v>572.9991123774207</v>
      </c>
      <c r="D32" s="59">
        <f>AVERAGE($B$22:$B$51)*(1-EvenFlowTol)</f>
        <v/>
      </c>
      <c r="E32" s="59">
        <f>AVERAGE($B$22:$B$51)*(1+EvenFlowTol)</f>
        <v/>
      </c>
    </row>
    <row r="33">
      <c r="A33" s="56" t="n">
        <v>12</v>
      </c>
      <c r="B33" s="44" t="n">
        <v>155918.5721402322</v>
      </c>
      <c r="C33" s="46" t="n">
        <v>576.5442140113422</v>
      </c>
      <c r="D33" s="59">
        <f>AVERAGE($B$22:$B$51)*(1-EvenFlowTol)</f>
        <v/>
      </c>
      <c r="E33" s="59">
        <f>AVERAGE($B$22:$B$51)*(1+EvenFlowTol)</f>
        <v/>
      </c>
    </row>
    <row r="34">
      <c r="A34" s="56" t="n">
        <v>13</v>
      </c>
      <c r="B34" s="44" t="n">
        <v>155918.5721402322</v>
      </c>
      <c r="C34" s="46" t="n">
        <v>580.2308856294419</v>
      </c>
      <c r="D34" s="59">
        <f>AVERAGE($B$22:$B$51)*(1-EvenFlowTol)</f>
        <v/>
      </c>
      <c r="E34" s="59">
        <f>AVERAGE($B$22:$B$51)*(1+EvenFlowTol)</f>
        <v/>
      </c>
    </row>
    <row r="35">
      <c r="A35" s="56" t="n">
        <v>14</v>
      </c>
      <c r="B35" s="44" t="n">
        <v>155918.5721402322</v>
      </c>
      <c r="C35" s="46" t="n">
        <v>584.1745882319872</v>
      </c>
      <c r="D35" s="59">
        <f>AVERAGE($B$22:$B$51)*(1-EvenFlowTol)</f>
        <v/>
      </c>
      <c r="E35" s="59">
        <f>AVERAGE($B$22:$B$51)*(1+EvenFlowTol)</f>
        <v/>
      </c>
    </row>
    <row r="36">
      <c r="A36" s="56" t="n">
        <v>15</v>
      </c>
      <c r="B36" s="44" t="n">
        <v>155918.5721402322</v>
      </c>
      <c r="C36" s="46" t="n">
        <v>587.5988197997699</v>
      </c>
      <c r="D36" s="59">
        <f>AVERAGE($B$22:$B$51)*(1-EvenFlowTol)</f>
        <v/>
      </c>
      <c r="E36" s="59">
        <f>AVERAGE($B$22:$B$51)*(1+EvenFlowTol)</f>
        <v/>
      </c>
    </row>
    <row r="37">
      <c r="A37" s="56" t="n">
        <v>16</v>
      </c>
      <c r="B37" s="44" t="n">
        <v>155918.5721402322</v>
      </c>
      <c r="C37" s="46" t="n">
        <v>591.1910080580133</v>
      </c>
      <c r="D37" s="59">
        <f>AVERAGE($B$22:$B$51)*(1-EvenFlowTol)</f>
        <v/>
      </c>
      <c r="E37" s="59">
        <f>AVERAGE($B$22:$B$51)*(1+EvenFlowTol)</f>
        <v/>
      </c>
    </row>
    <row r="38">
      <c r="A38" s="56" t="n">
        <v>17</v>
      </c>
      <c r="B38" s="44" t="n">
        <v>155918.5721402322</v>
      </c>
      <c r="C38" s="46" t="n">
        <v>595.3162386520254</v>
      </c>
      <c r="D38" s="59">
        <f>AVERAGE($B$22:$B$51)*(1-EvenFlowTol)</f>
        <v/>
      </c>
      <c r="E38" s="59">
        <f>AVERAGE($B$22:$B$51)*(1+EvenFlowTol)</f>
        <v/>
      </c>
    </row>
    <row r="39">
      <c r="A39" s="56" t="n">
        <v>18</v>
      </c>
      <c r="B39" s="44" t="n">
        <v>155918.5721402322</v>
      </c>
      <c r="C39" s="46" t="n">
        <v>599.7502757945036</v>
      </c>
      <c r="D39" s="59">
        <f>AVERAGE($B$22:$B$51)*(1-EvenFlowTol)</f>
        <v/>
      </c>
      <c r="E39" s="59">
        <f>AVERAGE($B$22:$B$51)*(1+EvenFlowTol)</f>
        <v/>
      </c>
    </row>
    <row r="40">
      <c r="A40" s="56" t="n">
        <v>19</v>
      </c>
      <c r="B40" s="44" t="n">
        <v>155918.5721402322</v>
      </c>
      <c r="C40" s="46" t="n">
        <v>604.7640903899791</v>
      </c>
      <c r="D40" s="59">
        <f>AVERAGE($B$22:$B$51)*(1-EvenFlowTol)</f>
        <v/>
      </c>
      <c r="E40" s="59">
        <f>AVERAGE($B$22:$B$51)*(1+EvenFlowTol)</f>
        <v/>
      </c>
    </row>
    <row r="41">
      <c r="A41" s="56" t="n">
        <v>20</v>
      </c>
      <c r="B41" s="44" t="n">
        <v>155918.5721402322</v>
      </c>
      <c r="C41" s="46" t="n">
        <v>613.1065973327289</v>
      </c>
      <c r="D41" s="59">
        <f>AVERAGE($B$22:$B$51)*(1-EvenFlowTol)</f>
        <v/>
      </c>
      <c r="E41" s="59">
        <f>AVERAGE($B$22:$B$51)*(1+EvenFlowTol)</f>
        <v/>
      </c>
    </row>
    <row r="42">
      <c r="A42" s="56" t="n">
        <v>21</v>
      </c>
      <c r="B42" s="44" t="n">
        <v>155918.5721402322</v>
      </c>
      <c r="C42" s="46" t="n">
        <v>621.8711586840802</v>
      </c>
      <c r="D42" s="59">
        <f>AVERAGE($B$22:$B$51)*(1-EvenFlowTol)</f>
        <v/>
      </c>
      <c r="E42" s="59">
        <f>AVERAGE($B$22:$B$51)*(1+EvenFlowTol)</f>
        <v/>
      </c>
    </row>
    <row r="43">
      <c r="A43" s="56" t="n">
        <v>22</v>
      </c>
      <c r="B43" s="44" t="n">
        <v>155918.5721402322</v>
      </c>
      <c r="C43" s="46" t="n">
        <v>631.0962215857677</v>
      </c>
      <c r="D43" s="59">
        <f>AVERAGE($B$22:$B$51)*(1-EvenFlowTol)</f>
        <v/>
      </c>
      <c r="E43" s="59">
        <f>AVERAGE($B$22:$B$51)*(1+EvenFlowTol)</f>
        <v/>
      </c>
    </row>
    <row r="44">
      <c r="A44" s="56" t="n">
        <v>23</v>
      </c>
      <c r="B44" s="44" t="n">
        <v>155918.5721402322</v>
      </c>
      <c r="C44" s="46" t="n">
        <v>642.8693192203941</v>
      </c>
      <c r="D44" s="59">
        <f>AVERAGE($B$22:$B$51)*(1-EvenFlowTol)</f>
        <v/>
      </c>
      <c r="E44" s="59">
        <f>AVERAGE($B$22:$B$51)*(1+EvenFlowTol)</f>
        <v/>
      </c>
    </row>
    <row r="45">
      <c r="A45" s="56" t="n">
        <v>24</v>
      </c>
      <c r="B45" s="44" t="n">
        <v>155918.5721402322</v>
      </c>
      <c r="C45" s="46" t="n">
        <v>660.6453884625392</v>
      </c>
      <c r="D45" s="59">
        <f>AVERAGE($B$22:$B$51)*(1-EvenFlowTol)</f>
        <v/>
      </c>
      <c r="E45" s="59">
        <f>AVERAGE($B$22:$B$51)*(1+EvenFlowTol)</f>
        <v/>
      </c>
    </row>
    <row r="46">
      <c r="A46" s="56" t="n">
        <v>25</v>
      </c>
      <c r="B46" s="44" t="n">
        <v>155918.5721402322</v>
      </c>
      <c r="C46" s="46" t="n">
        <v>681.1915912071128</v>
      </c>
      <c r="D46" s="59">
        <f>AVERAGE($B$22:$B$51)*(1-EvenFlowTol)</f>
        <v/>
      </c>
      <c r="E46" s="59">
        <f>AVERAGE($B$22:$B$51)*(1+EvenFlowTol)</f>
        <v/>
      </c>
    </row>
    <row r="47">
      <c r="A47" s="56" t="n">
        <v>26</v>
      </c>
      <c r="B47" s="44" t="n">
        <v>155918.5721402322</v>
      </c>
      <c r="C47" s="46" t="n">
        <v>706.978124734969</v>
      </c>
      <c r="D47" s="59">
        <f>AVERAGE($B$22:$B$51)*(1-EvenFlowTol)</f>
        <v/>
      </c>
      <c r="E47" s="59">
        <f>AVERAGE($B$22:$B$51)*(1+EvenFlowTol)</f>
        <v/>
      </c>
    </row>
    <row r="48">
      <c r="A48" s="56" t="n">
        <v>27</v>
      </c>
      <c r="B48" s="44" t="n">
        <v>155918.5721402322</v>
      </c>
      <c r="C48" s="46" t="n">
        <v>743.7775578109886</v>
      </c>
      <c r="D48" s="59">
        <f>AVERAGE($B$22:$B$51)*(1-EvenFlowTol)</f>
        <v/>
      </c>
      <c r="E48" s="59">
        <f>AVERAGE($B$22:$B$51)*(1+EvenFlowTol)</f>
        <v/>
      </c>
    </row>
    <row r="49">
      <c r="A49" s="56" t="n">
        <v>28</v>
      </c>
      <c r="B49" s="44" t="n">
        <v>155918.5721402322</v>
      </c>
      <c r="C49" s="46" t="n">
        <v>793.4933111115344</v>
      </c>
      <c r="D49" s="59">
        <f>AVERAGE($B$22:$B$51)*(1-EvenFlowTol)</f>
        <v/>
      </c>
      <c r="E49" s="59">
        <f>AVERAGE($B$22:$B$51)*(1+EvenFlowTol)</f>
        <v/>
      </c>
    </row>
    <row r="50">
      <c r="A50" s="56" t="n">
        <v>29</v>
      </c>
      <c r="B50" s="44" t="n">
        <v>155918.5721402322</v>
      </c>
      <c r="C50" s="46" t="n">
        <v>876.7412660632625</v>
      </c>
      <c r="D50" s="59">
        <f>AVERAGE($B$22:$B$51)*(1-EvenFlowTol)</f>
        <v/>
      </c>
      <c r="E50" s="59">
        <f>AVERAGE($B$22:$B$51)*(1+EvenFlowTol)</f>
        <v/>
      </c>
    </row>
    <row r="51">
      <c r="A51" s="56" t="n">
        <v>30</v>
      </c>
      <c r="B51" s="44" t="n">
        <v>155918.5721402322</v>
      </c>
      <c r="C51" s="46" t="n">
        <v>1034.674265313211</v>
      </c>
      <c r="D51" s="59">
        <f>AVERAGE($B$22:$B$51)*(1-EvenFlowTol)</f>
        <v/>
      </c>
      <c r="E51" s="59">
        <f>AVERAGE($B$22:$B$51)*(1+EvenFlowTol)</f>
        <v/>
      </c>
    </row>
    <row r="53">
      <c r="A53" s="48" t="inlineStr">
        <is>
          <t>Even-flow check</t>
        </is>
      </c>
      <c r="B53" s="63">
        <f>IF(AND(MIN(B22:B51)&gt;=D22-1,MAX(B22:B51)&lt;=E22+1),"PASS: every year inside the band","FAIL")</f>
        <v/>
      </c>
    </row>
    <row r="55">
      <c r="A55" s="48" t="inlineStr">
        <is>
          <t>Age distribution at exit (year 30): this is the forest the next buyer acquires</t>
        </is>
      </c>
    </row>
    <row r="56" ht="30" customHeight="1">
      <c r="A56" s="7" t="inlineStr">
        <is>
          <t>Age (yrs)</t>
        </is>
      </c>
      <c r="B56" s="7" t="inlineStr">
        <is>
          <t>Hectares</t>
        </is>
      </c>
      <c r="C56" s="7" t="inlineStr">
        <is>
          <t>Volume per ha (m³)</t>
        </is>
      </c>
      <c r="D56" s="7" t="inlineStr">
        <is>
          <t>Standing volume (m³)</t>
        </is>
      </c>
      <c r="E56" s="7" t="inlineStr">
        <is>
          <t>Exit value per ha ($)</t>
        </is>
      </c>
      <c r="F56" s="7" t="inlineStr">
        <is>
          <t>Exit value ($)</t>
        </is>
      </c>
    </row>
    <row r="57">
      <c r="A57" s="56" t="n">
        <v>0</v>
      </c>
      <c r="B57" s="46" t="n">
        <v>1034.674265313211</v>
      </c>
      <c r="C57" s="57">
        <f>CR_a*(1-EXP(-CR_b*$A57))^CR_c</f>
        <v/>
      </c>
      <c r="D57" s="57">
        <f>$B57*$C57</f>
        <v/>
      </c>
      <c r="E57" s="57">
        <f>IF($A57&gt;=RotationAge,ExitPrice*$C57+LEVT_Exit,(ExitPrice*VolAtRotation+LEVT_Exit)/(1+DiscRate)^(RotationAge-$A57))</f>
        <v/>
      </c>
      <c r="F57" s="59">
        <f>$B57*$E57</f>
        <v/>
      </c>
    </row>
    <row r="58">
      <c r="A58" s="56" t="n">
        <v>1</v>
      </c>
      <c r="B58" s="46" t="n">
        <v>876.7412660632625</v>
      </c>
      <c r="C58" s="57">
        <f>CR_a*(1-EXP(-CR_b*$A58))^CR_c</f>
        <v/>
      </c>
      <c r="D58" s="57">
        <f>$B58*$C58</f>
        <v/>
      </c>
      <c r="E58" s="57">
        <f>IF($A58&gt;=RotationAge,ExitPrice*$C58+LEVT_Exit,(ExitPrice*VolAtRotation+LEVT_Exit)/(1+DiscRate)^(RotationAge-$A58))</f>
        <v/>
      </c>
      <c r="F58" s="59">
        <f>$B58*$E58</f>
        <v/>
      </c>
    </row>
    <row r="59">
      <c r="A59" s="56" t="n">
        <v>2</v>
      </c>
      <c r="B59" s="46" t="n">
        <v>793.4933111115344</v>
      </c>
      <c r="C59" s="57">
        <f>CR_a*(1-EXP(-CR_b*$A59))^CR_c</f>
        <v/>
      </c>
      <c r="D59" s="57">
        <f>$B59*$C59</f>
        <v/>
      </c>
      <c r="E59" s="57">
        <f>IF($A59&gt;=RotationAge,ExitPrice*$C59+LEVT_Exit,(ExitPrice*VolAtRotation+LEVT_Exit)/(1+DiscRate)^(RotationAge-$A59))</f>
        <v/>
      </c>
      <c r="F59" s="59">
        <f>$B59*$E59</f>
        <v/>
      </c>
    </row>
    <row r="60">
      <c r="A60" s="56" t="n">
        <v>3</v>
      </c>
      <c r="B60" s="46" t="n">
        <v>743.7775578109886</v>
      </c>
      <c r="C60" s="57">
        <f>CR_a*(1-EXP(-CR_b*$A60))^CR_c</f>
        <v/>
      </c>
      <c r="D60" s="57">
        <f>$B60*$C60</f>
        <v/>
      </c>
      <c r="E60" s="57">
        <f>IF($A60&gt;=RotationAge,ExitPrice*$C60+LEVT_Exit,(ExitPrice*VolAtRotation+LEVT_Exit)/(1+DiscRate)^(RotationAge-$A60))</f>
        <v/>
      </c>
      <c r="F60" s="59">
        <f>$B60*$E60</f>
        <v/>
      </c>
    </row>
    <row r="61">
      <c r="A61" s="56" t="n">
        <v>4</v>
      </c>
      <c r="B61" s="46" t="n">
        <v>706.978124734969</v>
      </c>
      <c r="C61" s="57">
        <f>CR_a*(1-EXP(-CR_b*$A61))^CR_c</f>
        <v/>
      </c>
      <c r="D61" s="57">
        <f>$B61*$C61</f>
        <v/>
      </c>
      <c r="E61" s="57">
        <f>IF($A61&gt;=RotationAge,ExitPrice*$C61+LEVT_Exit,(ExitPrice*VolAtRotation+LEVT_Exit)/(1+DiscRate)^(RotationAge-$A61))</f>
        <v/>
      </c>
      <c r="F61" s="59">
        <f>$B61*$E61</f>
        <v/>
      </c>
    </row>
    <row r="62">
      <c r="A62" s="56" t="n">
        <v>5</v>
      </c>
      <c r="B62" s="46" t="n">
        <v>681.1915912071128</v>
      </c>
      <c r="C62" s="57">
        <f>CR_a*(1-EXP(-CR_b*$A62))^CR_c</f>
        <v/>
      </c>
      <c r="D62" s="57">
        <f>$B62*$C62</f>
        <v/>
      </c>
      <c r="E62" s="57">
        <f>IF($A62&gt;=RotationAge,ExitPrice*$C62+LEVT_Exit,(ExitPrice*VolAtRotation+LEVT_Exit)/(1+DiscRate)^(RotationAge-$A62))</f>
        <v/>
      </c>
      <c r="F62" s="59">
        <f>$B62*$E62</f>
        <v/>
      </c>
    </row>
    <row r="63">
      <c r="A63" s="56" t="n">
        <v>6</v>
      </c>
      <c r="B63" s="46" t="n">
        <v>660.6453884625392</v>
      </c>
      <c r="C63" s="57">
        <f>CR_a*(1-EXP(-CR_b*$A63))^CR_c</f>
        <v/>
      </c>
      <c r="D63" s="57">
        <f>$B63*$C63</f>
        <v/>
      </c>
      <c r="E63" s="57">
        <f>IF($A63&gt;=RotationAge,ExitPrice*$C63+LEVT_Exit,(ExitPrice*VolAtRotation+LEVT_Exit)/(1+DiscRate)^(RotationAge-$A63))</f>
        <v/>
      </c>
      <c r="F63" s="59">
        <f>$B63*$E63</f>
        <v/>
      </c>
    </row>
    <row r="64">
      <c r="A64" s="56" t="n">
        <v>7</v>
      </c>
      <c r="B64" s="46" t="n">
        <v>642.8693192203941</v>
      </c>
      <c r="C64" s="57">
        <f>CR_a*(1-EXP(-CR_b*$A64))^CR_c</f>
        <v/>
      </c>
      <c r="D64" s="57">
        <f>$B64*$C64</f>
        <v/>
      </c>
      <c r="E64" s="57">
        <f>IF($A64&gt;=RotationAge,ExitPrice*$C64+LEVT_Exit,(ExitPrice*VolAtRotation+LEVT_Exit)/(1+DiscRate)^(RotationAge-$A64))</f>
        <v/>
      </c>
      <c r="F64" s="59">
        <f>$B64*$E64</f>
        <v/>
      </c>
    </row>
    <row r="65">
      <c r="A65" s="56" t="n">
        <v>8</v>
      </c>
      <c r="B65" s="46" t="n">
        <v>631.0962215857677</v>
      </c>
      <c r="C65" s="57">
        <f>CR_a*(1-EXP(-CR_b*$A65))^CR_c</f>
        <v/>
      </c>
      <c r="D65" s="57">
        <f>$B65*$C65</f>
        <v/>
      </c>
      <c r="E65" s="57">
        <f>IF($A65&gt;=RotationAge,ExitPrice*$C65+LEVT_Exit,(ExitPrice*VolAtRotation+LEVT_Exit)/(1+DiscRate)^(RotationAge-$A65))</f>
        <v/>
      </c>
      <c r="F65" s="59">
        <f>$B65*$E65</f>
        <v/>
      </c>
    </row>
    <row r="66">
      <c r="A66" s="56" t="n">
        <v>9</v>
      </c>
      <c r="B66" s="46" t="n">
        <v>621.8711586840802</v>
      </c>
      <c r="C66" s="57">
        <f>CR_a*(1-EXP(-CR_b*$A66))^CR_c</f>
        <v/>
      </c>
      <c r="D66" s="57">
        <f>$B66*$C66</f>
        <v/>
      </c>
      <c r="E66" s="57">
        <f>IF($A66&gt;=RotationAge,ExitPrice*$C66+LEVT_Exit,(ExitPrice*VolAtRotation+LEVT_Exit)/(1+DiscRate)^(RotationAge-$A66))</f>
        <v/>
      </c>
      <c r="F66" s="59">
        <f>$B66*$E66</f>
        <v/>
      </c>
    </row>
    <row r="67">
      <c r="A67" s="56" t="n">
        <v>10</v>
      </c>
      <c r="B67" s="46" t="n">
        <v>613.1065973327289</v>
      </c>
      <c r="C67" s="57">
        <f>CR_a*(1-EXP(-CR_b*$A67))^CR_c</f>
        <v/>
      </c>
      <c r="D67" s="57">
        <f>$B67*$C67</f>
        <v/>
      </c>
      <c r="E67" s="57">
        <f>IF($A67&gt;=RotationAge,ExitPrice*$C67+LEVT_Exit,(ExitPrice*VolAtRotation+LEVT_Exit)/(1+DiscRate)^(RotationAge-$A67))</f>
        <v/>
      </c>
      <c r="F67" s="59">
        <f>$B67*$E67</f>
        <v/>
      </c>
    </row>
    <row r="68">
      <c r="A68" s="56" t="n">
        <v>11</v>
      </c>
      <c r="B68" s="46" t="n">
        <v>604.7640903899791</v>
      </c>
      <c r="C68" s="57">
        <f>CR_a*(1-EXP(-CR_b*$A68))^CR_c</f>
        <v/>
      </c>
      <c r="D68" s="57">
        <f>$B68*$C68</f>
        <v/>
      </c>
      <c r="E68" s="57">
        <f>IF($A68&gt;=RotationAge,ExitPrice*$C68+LEVT_Exit,(ExitPrice*VolAtRotation+LEVT_Exit)/(1+DiscRate)^(RotationAge-$A68))</f>
        <v/>
      </c>
      <c r="F68" s="59">
        <f>$B68*$E68</f>
        <v/>
      </c>
    </row>
    <row r="69">
      <c r="A69" s="56" t="n">
        <v>12</v>
      </c>
      <c r="B69" s="46" t="n">
        <v>599.7502757945036</v>
      </c>
      <c r="C69" s="57">
        <f>CR_a*(1-EXP(-CR_b*$A69))^CR_c</f>
        <v/>
      </c>
      <c r="D69" s="57">
        <f>$B69*$C69</f>
        <v/>
      </c>
      <c r="E69" s="57">
        <f>IF($A69&gt;=RotationAge,ExitPrice*$C69+LEVT_Exit,(ExitPrice*VolAtRotation+LEVT_Exit)/(1+DiscRate)^(RotationAge-$A69))</f>
        <v/>
      </c>
      <c r="F69" s="59">
        <f>$B69*$E69</f>
        <v/>
      </c>
    </row>
    <row r="70">
      <c r="A70" s="56" t="n">
        <v>13</v>
      </c>
      <c r="B70" s="46" t="n">
        <v>595.3162386520254</v>
      </c>
      <c r="C70" s="57">
        <f>CR_a*(1-EXP(-CR_b*$A70))^CR_c</f>
        <v/>
      </c>
      <c r="D70" s="57">
        <f>$B70*$C70</f>
        <v/>
      </c>
      <c r="E70" s="57">
        <f>IF($A70&gt;=RotationAge,ExitPrice*$C70+LEVT_Exit,(ExitPrice*VolAtRotation+LEVT_Exit)/(1+DiscRate)^(RotationAge-$A70))</f>
        <v/>
      </c>
      <c r="F70" s="59">
        <f>$B70*$E70</f>
        <v/>
      </c>
    </row>
    <row r="71">
      <c r="A71" s="56" t="n">
        <v>14</v>
      </c>
      <c r="B71" s="46" t="n">
        <v>591.1910080580133</v>
      </c>
      <c r="C71" s="57">
        <f>CR_a*(1-EXP(-CR_b*$A71))^CR_c</f>
        <v/>
      </c>
      <c r="D71" s="57">
        <f>$B71*$C71</f>
        <v/>
      </c>
      <c r="E71" s="57">
        <f>IF($A71&gt;=RotationAge,ExitPrice*$C71+LEVT_Exit,(ExitPrice*VolAtRotation+LEVT_Exit)/(1+DiscRate)^(RotationAge-$A71))</f>
        <v/>
      </c>
      <c r="F71" s="59">
        <f>$B71*$E71</f>
        <v/>
      </c>
    </row>
    <row r="72">
      <c r="A72" s="56" t="n">
        <v>15</v>
      </c>
      <c r="B72" s="46" t="n">
        <v>587.5988197997699</v>
      </c>
      <c r="C72" s="57">
        <f>CR_a*(1-EXP(-CR_b*$A72))^CR_c</f>
        <v/>
      </c>
      <c r="D72" s="57">
        <f>$B72*$C72</f>
        <v/>
      </c>
      <c r="E72" s="57">
        <f>IF($A72&gt;=RotationAge,ExitPrice*$C72+LEVT_Exit,(ExitPrice*VolAtRotation+LEVT_Exit)/(1+DiscRate)^(RotationAge-$A72))</f>
        <v/>
      </c>
      <c r="F72" s="59">
        <f>$B72*$E72</f>
        <v/>
      </c>
    </row>
    <row r="73">
      <c r="A73" s="56" t="n">
        <v>16</v>
      </c>
      <c r="B73" s="46" t="n">
        <v>584.1745882319872</v>
      </c>
      <c r="C73" s="57">
        <f>CR_a*(1-EXP(-CR_b*$A73))^CR_c</f>
        <v/>
      </c>
      <c r="D73" s="57">
        <f>$B73*$C73</f>
        <v/>
      </c>
      <c r="E73" s="57">
        <f>IF($A73&gt;=RotationAge,ExitPrice*$C73+LEVT_Exit,(ExitPrice*VolAtRotation+LEVT_Exit)/(1+DiscRate)^(RotationAge-$A73))</f>
        <v/>
      </c>
      <c r="F73" s="59">
        <f>$B73*$E73</f>
        <v/>
      </c>
    </row>
    <row r="74">
      <c r="A74" s="56" t="n">
        <v>17</v>
      </c>
      <c r="B74" s="46" t="n">
        <v>580.2308856294419</v>
      </c>
      <c r="C74" s="57">
        <f>CR_a*(1-EXP(-CR_b*$A74))^CR_c</f>
        <v/>
      </c>
      <c r="D74" s="57">
        <f>$B74*$C74</f>
        <v/>
      </c>
      <c r="E74" s="57">
        <f>IF($A74&gt;=RotationAge,ExitPrice*$C74+LEVT_Exit,(ExitPrice*VolAtRotation+LEVT_Exit)/(1+DiscRate)^(RotationAge-$A74))</f>
        <v/>
      </c>
      <c r="F74" s="59">
        <f>$B74*$E74</f>
        <v/>
      </c>
    </row>
    <row r="75">
      <c r="A75" s="56" t="n">
        <v>18</v>
      </c>
      <c r="B75" s="46" t="n">
        <v>576.5442140113422</v>
      </c>
      <c r="C75" s="57">
        <f>CR_a*(1-EXP(-CR_b*$A75))^CR_c</f>
        <v/>
      </c>
      <c r="D75" s="57">
        <f>$B75*$C75</f>
        <v/>
      </c>
      <c r="E75" s="57">
        <f>IF($A75&gt;=RotationAge,ExitPrice*$C75+LEVT_Exit,(ExitPrice*VolAtRotation+LEVT_Exit)/(1+DiscRate)^(RotationAge-$A75))</f>
        <v/>
      </c>
      <c r="F75" s="59">
        <f>$B75*$E75</f>
        <v/>
      </c>
    </row>
    <row r="76">
      <c r="A76" s="56" t="n">
        <v>19</v>
      </c>
      <c r="B76" s="46" t="n">
        <v>572.9991123774207</v>
      </c>
      <c r="C76" s="57">
        <f>CR_a*(1-EXP(-CR_b*$A76))^CR_c</f>
        <v/>
      </c>
      <c r="D76" s="57">
        <f>$B76*$C76</f>
        <v/>
      </c>
      <c r="E76" s="57">
        <f>IF($A76&gt;=RotationAge,ExitPrice*$C76+LEVT_Exit,(ExitPrice*VolAtRotation+LEVT_Exit)/(1+DiscRate)^(RotationAge-$A76))</f>
        <v/>
      </c>
      <c r="F76" s="59">
        <f>$B76*$E76</f>
        <v/>
      </c>
    </row>
    <row r="77">
      <c r="A77" s="56" t="n">
        <v>20</v>
      </c>
      <c r="B77" s="46" t="n">
        <v>569.6225774783218</v>
      </c>
      <c r="C77" s="57">
        <f>CR_a*(1-EXP(-CR_b*$A77))^CR_c</f>
        <v/>
      </c>
      <c r="D77" s="57">
        <f>$B77*$C77</f>
        <v/>
      </c>
      <c r="E77" s="57">
        <f>IF($A77&gt;=RotationAge,ExitPrice*$C77+LEVT_Exit,(ExitPrice*VolAtRotation+LEVT_Exit)/(1+DiscRate)^(RotationAge-$A77))</f>
        <v/>
      </c>
      <c r="F77" s="59">
        <f>$B77*$E77</f>
        <v/>
      </c>
    </row>
    <row r="78">
      <c r="A78" s="56" t="n">
        <v>21</v>
      </c>
      <c r="B78" s="46" t="n">
        <v>566.2636526947006</v>
      </c>
      <c r="C78" s="57">
        <f>CR_a*(1-EXP(-CR_b*$A78))^CR_c</f>
        <v/>
      </c>
      <c r="D78" s="57">
        <f>$B78*$C78</f>
        <v/>
      </c>
      <c r="E78" s="57">
        <f>IF($A78&gt;=RotationAge,ExitPrice*$C78+LEVT_Exit,(ExitPrice*VolAtRotation+LEVT_Exit)/(1+DiscRate)^(RotationAge-$A78))</f>
        <v/>
      </c>
      <c r="F78" s="59">
        <f>$B78*$E78</f>
        <v/>
      </c>
    </row>
    <row r="79">
      <c r="A79" s="56" t="n">
        <v>22</v>
      </c>
      <c r="B79" s="46" t="n">
        <v>562.7936745664756</v>
      </c>
      <c r="C79" s="57">
        <f>CR_a*(1-EXP(-CR_b*$A79))^CR_c</f>
        <v/>
      </c>
      <c r="D79" s="57">
        <f>$B79*$C79</f>
        <v/>
      </c>
      <c r="E79" s="57">
        <f>IF($A79&gt;=RotationAge,ExitPrice*$C79+LEVT_Exit,(ExitPrice*VolAtRotation+LEVT_Exit)/(1+DiscRate)^(RotationAge-$A79))</f>
        <v/>
      </c>
      <c r="F79" s="59">
        <f>$B79*$E79</f>
        <v/>
      </c>
    </row>
    <row r="80">
      <c r="A80" s="56" t="n">
        <v>23</v>
      </c>
      <c r="B80" s="46" t="n">
        <v>559.2325357457656</v>
      </c>
      <c r="C80" s="57">
        <f>CR_a*(1-EXP(-CR_b*$A80))^CR_c</f>
        <v/>
      </c>
      <c r="D80" s="57">
        <f>$B80*$C80</f>
        <v/>
      </c>
      <c r="E80" s="57">
        <f>IF($A80&gt;=RotationAge,ExitPrice*$C80+LEVT_Exit,(ExitPrice*VolAtRotation+LEVT_Exit)/(1+DiscRate)^(RotationAge-$A80))</f>
        <v/>
      </c>
      <c r="F80" s="59">
        <f>$B80*$E80</f>
        <v/>
      </c>
    </row>
    <row r="81">
      <c r="A81" s="56" t="n">
        <v>24</v>
      </c>
      <c r="B81" s="46" t="n">
        <v>553.4053165213254</v>
      </c>
      <c r="C81" s="57">
        <f>CR_a*(1-EXP(-CR_b*$A81))^CR_c</f>
        <v/>
      </c>
      <c r="D81" s="57">
        <f>$B81*$C81</f>
        <v/>
      </c>
      <c r="E81" s="57">
        <f>IF($A81&gt;=RotationAge,ExitPrice*$C81+LEVT_Exit,(ExitPrice*VolAtRotation+LEVT_Exit)/(1+DiscRate)^(RotationAge-$A81))</f>
        <v/>
      </c>
      <c r="F81" s="59">
        <f>$B81*$E81</f>
        <v/>
      </c>
    </row>
    <row r="82">
      <c r="A82" s="56" t="n">
        <v>25</v>
      </c>
      <c r="B82" s="46" t="n">
        <v>548.5674960265178</v>
      </c>
      <c r="C82" s="57">
        <f>CR_a*(1-EXP(-CR_b*$A82))^CR_c</f>
        <v/>
      </c>
      <c r="D82" s="57">
        <f>$B82*$C82</f>
        <v/>
      </c>
      <c r="E82" s="57">
        <f>IF($A82&gt;=RotationAge,ExitPrice*$C82+LEVT_Exit,(ExitPrice*VolAtRotation+LEVT_Exit)/(1+DiscRate)^(RotationAge-$A82))</f>
        <v/>
      </c>
      <c r="F82" s="59">
        <f>$B82*$E82</f>
        <v/>
      </c>
    </row>
    <row r="83">
      <c r="A83" s="56" t="n">
        <v>26</v>
      </c>
      <c r="B83" s="46" t="n">
        <v>543.7698628518249</v>
      </c>
      <c r="C83" s="57">
        <f>CR_a*(1-EXP(-CR_b*$A83))^CR_c</f>
        <v/>
      </c>
      <c r="D83" s="57">
        <f>$B83*$C83</f>
        <v/>
      </c>
      <c r="E83" s="57">
        <f>IF($A83&gt;=RotationAge,ExitPrice*$C83+LEVT_Exit,(ExitPrice*VolAtRotation+LEVT_Exit)/(1+DiscRate)^(RotationAge-$A83))</f>
        <v/>
      </c>
      <c r="F83" s="59">
        <f>$B83*$E83</f>
        <v/>
      </c>
    </row>
    <row r="84">
      <c r="A84" s="56" t="n">
        <v>27</v>
      </c>
      <c r="B84" s="46" t="n">
        <v>538.3465237348952</v>
      </c>
      <c r="C84" s="57">
        <f>CR_a*(1-EXP(-CR_b*$A84))^CR_c</f>
        <v/>
      </c>
      <c r="D84" s="57">
        <f>$B84*$C84</f>
        <v/>
      </c>
      <c r="E84" s="57">
        <f>IF($A84&gt;=RotationAge,ExitPrice*$C84+LEVT_Exit,(ExitPrice*VolAtRotation+LEVT_Exit)/(1+DiscRate)^(RotationAge-$A84))</f>
        <v/>
      </c>
      <c r="F84" s="59">
        <f>$B84*$E84</f>
        <v/>
      </c>
    </row>
    <row r="85">
      <c r="A85" s="56" t="n">
        <v>28</v>
      </c>
      <c r="B85" s="46" t="n">
        <v>530.2193404530806</v>
      </c>
      <c r="C85" s="57">
        <f>CR_a*(1-EXP(-CR_b*$A85))^CR_c</f>
        <v/>
      </c>
      <c r="D85" s="57">
        <f>$B85*$C85</f>
        <v/>
      </c>
      <c r="E85" s="57">
        <f>IF($A85&gt;=RotationAge,ExitPrice*$C85+LEVT_Exit,(ExitPrice*VolAtRotation+LEVT_Exit)/(1+DiscRate)^(RotationAge-$A85))</f>
        <v/>
      </c>
      <c r="F85" s="59">
        <f>$B85*$E85</f>
        <v/>
      </c>
    </row>
    <row r="86">
      <c r="A86" s="56" t="n">
        <v>29</v>
      </c>
      <c r="B86" s="46" t="n">
        <v>522.7780587943886</v>
      </c>
      <c r="C86" s="57">
        <f>CR_a*(1-EXP(-CR_b*$A86))^CR_c</f>
        <v/>
      </c>
      <c r="D86" s="57">
        <f>$B86*$C86</f>
        <v/>
      </c>
      <c r="E86" s="57">
        <f>IF($A86&gt;=RotationAge,ExitPrice*$C86+LEVT_Exit,(ExitPrice*VolAtRotation+LEVT_Exit)/(1+DiscRate)^(RotationAge-$A86))</f>
        <v/>
      </c>
      <c r="F86" s="59">
        <f>$B86*$E86</f>
        <v/>
      </c>
    </row>
    <row r="87">
      <c r="A87" s="56" t="n">
        <v>30</v>
      </c>
      <c r="B87" s="46" t="n">
        <v>90</v>
      </c>
      <c r="C87" s="57">
        <f>CR_a*(1-EXP(-CR_b*$A87))^CR_c</f>
        <v/>
      </c>
      <c r="D87" s="57">
        <f>$B87*$C87</f>
        <v/>
      </c>
      <c r="E87" s="57">
        <f>IF($A87&gt;=RotationAge,ExitPrice*$C87+LEVT_Exit,(ExitPrice*VolAtRotation+LEVT_Exit)/(1+DiscRate)^(RotationAge-$A87))</f>
        <v/>
      </c>
      <c r="F87" s="59">
        <f>$B87*$E87</f>
        <v/>
      </c>
    </row>
    <row r="88">
      <c r="A88" s="56" t="n">
        <v>31</v>
      </c>
      <c r="B88" s="46" t="n">
        <v>90</v>
      </c>
      <c r="C88" s="57">
        <f>CR_a*(1-EXP(-CR_b*$A88))^CR_c</f>
        <v/>
      </c>
      <c r="D88" s="57">
        <f>$B88*$C88</f>
        <v/>
      </c>
      <c r="E88" s="57">
        <f>IF($A88&gt;=RotationAge,ExitPrice*$C88+LEVT_Exit,(ExitPrice*VolAtRotation+LEVT_Exit)/(1+DiscRate)^(RotationAge-$A88))</f>
        <v/>
      </c>
      <c r="F88" s="59">
        <f>$B88*$E88</f>
        <v/>
      </c>
    </row>
    <row r="89">
      <c r="A89" s="56" t="n">
        <v>32</v>
      </c>
      <c r="B89" s="46" t="n">
        <v>90</v>
      </c>
      <c r="C89" s="57">
        <f>CR_a*(1-EXP(-CR_b*$A89))^CR_c</f>
        <v/>
      </c>
      <c r="D89" s="57">
        <f>$B89*$C89</f>
        <v/>
      </c>
      <c r="E89" s="57">
        <f>IF($A89&gt;=RotationAge,ExitPrice*$C89+LEVT_Exit,(ExitPrice*VolAtRotation+LEVT_Exit)/(1+DiscRate)^(RotationAge-$A89))</f>
        <v/>
      </c>
      <c r="F89" s="59">
        <f>$B89*$E89</f>
        <v/>
      </c>
    </row>
    <row r="90">
      <c r="A90" s="56" t="n">
        <v>33</v>
      </c>
      <c r="B90" s="46" t="n">
        <v>90</v>
      </c>
      <c r="C90" s="57">
        <f>CR_a*(1-EXP(-CR_b*$A90))^CR_c</f>
        <v/>
      </c>
      <c r="D90" s="57">
        <f>$B90*$C90</f>
        <v/>
      </c>
      <c r="E90" s="57">
        <f>IF($A90&gt;=RotationAge,ExitPrice*$C90+LEVT_Exit,(ExitPrice*VolAtRotation+LEVT_Exit)/(1+DiscRate)^(RotationAge-$A90))</f>
        <v/>
      </c>
      <c r="F90" s="59">
        <f>$B90*$E90</f>
        <v/>
      </c>
    </row>
    <row r="91">
      <c r="A91" s="56" t="n">
        <v>34</v>
      </c>
      <c r="B91" s="46" t="n">
        <v>90</v>
      </c>
      <c r="C91" s="57">
        <f>CR_a*(1-EXP(-CR_b*$A91))^CR_c</f>
        <v/>
      </c>
      <c r="D91" s="57">
        <f>$B91*$C91</f>
        <v/>
      </c>
      <c r="E91" s="57">
        <f>IF($A91&gt;=RotationAge,ExitPrice*$C91+LEVT_Exit,(ExitPrice*VolAtRotation+LEVT_Exit)/(1+DiscRate)^(RotationAge-$A91))</f>
        <v/>
      </c>
      <c r="F91" s="59">
        <f>$B91*$E91</f>
        <v/>
      </c>
    </row>
    <row r="92">
      <c r="A92" s="56" t="n">
        <v>35</v>
      </c>
      <c r="B92" s="46" t="n">
        <v>90</v>
      </c>
      <c r="C92" s="57">
        <f>CR_a*(1-EXP(-CR_b*$A92))^CR_c</f>
        <v/>
      </c>
      <c r="D92" s="57">
        <f>$B92*$C92</f>
        <v/>
      </c>
      <c r="E92" s="57">
        <f>IF($A92&gt;=RotationAge,ExitPrice*$C92+LEVT_Exit,(ExitPrice*VolAtRotation+LEVT_Exit)/(1+DiscRate)^(RotationAge-$A92))</f>
        <v/>
      </c>
      <c r="F92" s="59">
        <f>$B92*$E92</f>
        <v/>
      </c>
    </row>
    <row r="93">
      <c r="A93" s="56" t="n">
        <v>36</v>
      </c>
      <c r="B93" s="46" t="n">
        <v>90</v>
      </c>
      <c r="C93" s="57">
        <f>CR_a*(1-EXP(-CR_b*$A93))^CR_c</f>
        <v/>
      </c>
      <c r="D93" s="57">
        <f>$B93*$C93</f>
        <v/>
      </c>
      <c r="E93" s="57">
        <f>IF($A93&gt;=RotationAge,ExitPrice*$C93+LEVT_Exit,(ExitPrice*VolAtRotation+LEVT_Exit)/(1+DiscRate)^(RotationAge-$A93))</f>
        <v/>
      </c>
      <c r="F93" s="59">
        <f>$B93*$E93</f>
        <v/>
      </c>
    </row>
    <row r="94">
      <c r="A94" s="56" t="n">
        <v>37</v>
      </c>
      <c r="B94" s="46" t="n">
        <v>90</v>
      </c>
      <c r="C94" s="57">
        <f>CR_a*(1-EXP(-CR_b*$A94))^CR_c</f>
        <v/>
      </c>
      <c r="D94" s="57">
        <f>$B94*$C94</f>
        <v/>
      </c>
      <c r="E94" s="57">
        <f>IF($A94&gt;=RotationAge,ExitPrice*$C94+LEVT_Exit,(ExitPrice*VolAtRotation+LEVT_Exit)/(1+DiscRate)^(RotationAge-$A94))</f>
        <v/>
      </c>
      <c r="F94" s="59">
        <f>$B94*$E94</f>
        <v/>
      </c>
    </row>
    <row r="95">
      <c r="A95" s="56" t="n">
        <v>38</v>
      </c>
      <c r="B95" s="46" t="n">
        <v>90</v>
      </c>
      <c r="C95" s="57">
        <f>CR_a*(1-EXP(-CR_b*$A95))^CR_c</f>
        <v/>
      </c>
      <c r="D95" s="57">
        <f>$B95*$C95</f>
        <v/>
      </c>
      <c r="E95" s="57">
        <f>IF($A95&gt;=RotationAge,ExitPrice*$C95+LEVT_Exit,(ExitPrice*VolAtRotation+LEVT_Exit)/(1+DiscRate)^(RotationAge-$A95))</f>
        <v/>
      </c>
      <c r="F95" s="59">
        <f>$B95*$E95</f>
        <v/>
      </c>
    </row>
    <row r="96">
      <c r="A96" s="56" t="n">
        <v>39</v>
      </c>
      <c r="B96" s="46" t="n">
        <v>90</v>
      </c>
      <c r="C96" s="57">
        <f>CR_a*(1-EXP(-CR_b*$A96))^CR_c</f>
        <v/>
      </c>
      <c r="D96" s="57">
        <f>$B96*$C96</f>
        <v/>
      </c>
      <c r="E96" s="57">
        <f>IF($A96&gt;=RotationAge,ExitPrice*$C96+LEVT_Exit,(ExitPrice*VolAtRotation+LEVT_Exit)/(1+DiscRate)^(RotationAge-$A96))</f>
        <v/>
      </c>
      <c r="F96" s="59">
        <f>$B96*$E96</f>
        <v/>
      </c>
    </row>
    <row r="97">
      <c r="A97" s="56" t="n">
        <v>40</v>
      </c>
      <c r="B97" s="46" t="n">
        <v>110</v>
      </c>
      <c r="C97" s="57">
        <f>CR_a*(1-EXP(-CR_b*$A97))^CR_c</f>
        <v/>
      </c>
      <c r="D97" s="57">
        <f>$B97*$C97</f>
        <v/>
      </c>
      <c r="E97" s="57">
        <f>IF($A97&gt;=RotationAge,ExitPrice*$C97+LEVT_Exit,(ExitPrice*VolAtRotation+LEVT_Exit)/(1+DiscRate)^(RotationAge-$A97))</f>
        <v/>
      </c>
      <c r="F97" s="59">
        <f>$B97*$E97</f>
        <v/>
      </c>
    </row>
    <row r="98">
      <c r="A98" s="56" t="n">
        <v>41</v>
      </c>
      <c r="B98" s="46" t="n">
        <v>110</v>
      </c>
      <c r="C98" s="57">
        <f>CR_a*(1-EXP(-CR_b*$A98))^CR_c</f>
        <v/>
      </c>
      <c r="D98" s="57">
        <f>$B98*$C98</f>
        <v/>
      </c>
      <c r="E98" s="57">
        <f>IF($A98&gt;=RotationAge,ExitPrice*$C98+LEVT_Exit,(ExitPrice*VolAtRotation+LEVT_Exit)/(1+DiscRate)^(RotationAge-$A98))</f>
        <v/>
      </c>
      <c r="F98" s="59">
        <f>$B98*$E98</f>
        <v/>
      </c>
    </row>
    <row r="99">
      <c r="A99" s="56" t="n">
        <v>42</v>
      </c>
      <c r="B99" s="46" t="n">
        <v>85.98692666163234</v>
      </c>
      <c r="C99" s="57">
        <f>CR_a*(1-EXP(-CR_b*$A99))^CR_c</f>
        <v/>
      </c>
      <c r="D99" s="57">
        <f>$B99*$C99</f>
        <v/>
      </c>
      <c r="E99" s="57">
        <f>IF($A99&gt;=RotationAge,ExitPrice*$C99+LEVT_Exit,(ExitPrice*VolAtRotation+LEVT_Exit)/(1+DiscRate)^(RotationAge-$A99))</f>
        <v/>
      </c>
      <c r="F99" s="59">
        <f>$B99*$E99</f>
        <v/>
      </c>
    </row>
    <row r="100">
      <c r="A100" s="56" t="n">
        <v>43</v>
      </c>
      <c r="B100" s="46" t="n">
        <v>0</v>
      </c>
      <c r="C100" s="57">
        <f>CR_a*(1-EXP(-CR_b*$A100))^CR_c</f>
        <v/>
      </c>
      <c r="D100" s="57">
        <f>$B100*$C100</f>
        <v/>
      </c>
      <c r="E100" s="57">
        <f>IF($A100&gt;=RotationAge,ExitPrice*$C100+LEVT_Exit,(ExitPrice*VolAtRotation+LEVT_Exit)/(1+DiscRate)^(RotationAge-$A100))</f>
        <v/>
      </c>
      <c r="F100" s="59">
        <f>$B100*$E100</f>
        <v/>
      </c>
    </row>
    <row r="101">
      <c r="A101" s="56" t="n">
        <v>44</v>
      </c>
      <c r="B101" s="46" t="n">
        <v>0</v>
      </c>
      <c r="C101" s="57">
        <f>CR_a*(1-EXP(-CR_b*$A101))^CR_c</f>
        <v/>
      </c>
      <c r="D101" s="57">
        <f>$B101*$C101</f>
        <v/>
      </c>
      <c r="E101" s="57">
        <f>IF($A101&gt;=RotationAge,ExitPrice*$C101+LEVT_Exit,(ExitPrice*VolAtRotation+LEVT_Exit)/(1+DiscRate)^(RotationAge-$A101))</f>
        <v/>
      </c>
      <c r="F101" s="59">
        <f>$B101*$E101</f>
        <v/>
      </c>
    </row>
    <row r="102">
      <c r="A102" s="56" t="n">
        <v>45</v>
      </c>
      <c r="B102" s="46" t="n">
        <v>0</v>
      </c>
      <c r="C102" s="57">
        <f>CR_a*(1-EXP(-CR_b*$A102))^CR_c</f>
        <v/>
      </c>
      <c r="D102" s="57">
        <f>$B102*$C102</f>
        <v/>
      </c>
      <c r="E102" s="57">
        <f>IF($A102&gt;=RotationAge,ExitPrice*$C102+LEVT_Exit,(ExitPrice*VolAtRotation+LEVT_Exit)/(1+DiscRate)^(RotationAge-$A102))</f>
        <v/>
      </c>
      <c r="F102" s="59">
        <f>$B102*$E102</f>
        <v/>
      </c>
    </row>
    <row r="103">
      <c r="A103" s="56" t="n">
        <v>46</v>
      </c>
      <c r="B103" s="46" t="n">
        <v>0</v>
      </c>
      <c r="C103" s="57">
        <f>CR_a*(1-EXP(-CR_b*$A103))^CR_c</f>
        <v/>
      </c>
      <c r="D103" s="57">
        <f>$B103*$C103</f>
        <v/>
      </c>
      <c r="E103" s="57">
        <f>IF($A103&gt;=RotationAge,ExitPrice*$C103+LEVT_Exit,(ExitPrice*VolAtRotation+LEVT_Exit)/(1+DiscRate)^(RotationAge-$A103))</f>
        <v/>
      </c>
      <c r="F103" s="59">
        <f>$B103*$E103</f>
        <v/>
      </c>
    </row>
    <row r="104">
      <c r="A104" s="56" t="n">
        <v>47</v>
      </c>
      <c r="B104" s="46" t="n">
        <v>0</v>
      </c>
      <c r="C104" s="57">
        <f>CR_a*(1-EXP(-CR_b*$A104))^CR_c</f>
        <v/>
      </c>
      <c r="D104" s="57">
        <f>$B104*$C104</f>
        <v/>
      </c>
      <c r="E104" s="57">
        <f>IF($A104&gt;=RotationAge,ExitPrice*$C104+LEVT_Exit,(ExitPrice*VolAtRotation+LEVT_Exit)/(1+DiscRate)^(RotationAge-$A104))</f>
        <v/>
      </c>
      <c r="F104" s="59">
        <f>$B104*$E104</f>
        <v/>
      </c>
    </row>
    <row r="105">
      <c r="A105" s="56" t="n">
        <v>48</v>
      </c>
      <c r="B105" s="46" t="n">
        <v>0</v>
      </c>
      <c r="C105" s="57">
        <f>CR_a*(1-EXP(-CR_b*$A105))^CR_c</f>
        <v/>
      </c>
      <c r="D105" s="57">
        <f>$B105*$C105</f>
        <v/>
      </c>
      <c r="E105" s="57">
        <f>IF($A105&gt;=RotationAge,ExitPrice*$C105+LEVT_Exit,(ExitPrice*VolAtRotation+LEVT_Exit)/(1+DiscRate)^(RotationAge-$A105))</f>
        <v/>
      </c>
      <c r="F105" s="59">
        <f>$B105*$E105</f>
        <v/>
      </c>
    </row>
    <row r="106">
      <c r="A106" s="56" t="n">
        <v>49</v>
      </c>
      <c r="B106" s="46" t="n">
        <v>0</v>
      </c>
      <c r="C106" s="57">
        <f>CR_a*(1-EXP(-CR_b*$A106))^CR_c</f>
        <v/>
      </c>
      <c r="D106" s="57">
        <f>$B106*$C106</f>
        <v/>
      </c>
      <c r="E106" s="57">
        <f>IF($A106&gt;=RotationAge,ExitPrice*$C106+LEVT_Exit,(ExitPrice*VolAtRotation+LEVT_Exit)/(1+DiscRate)^(RotationAge-$A106))</f>
        <v/>
      </c>
      <c r="F106" s="59">
        <f>$B106*$E106</f>
        <v/>
      </c>
    </row>
    <row r="107">
      <c r="A107" s="56" t="n">
        <v>50</v>
      </c>
      <c r="B107" s="46" t="n">
        <v>0</v>
      </c>
      <c r="C107" s="57">
        <f>CR_a*(1-EXP(-CR_b*$A107))^CR_c</f>
        <v/>
      </c>
      <c r="D107" s="57">
        <f>$B107*$C107</f>
        <v/>
      </c>
      <c r="E107" s="57">
        <f>IF($A107&gt;=RotationAge,ExitPrice*$C107+LEVT_Exit,(ExitPrice*VolAtRotation+LEVT_Exit)/(1+DiscRate)^(RotationAge-$A107))</f>
        <v/>
      </c>
      <c r="F107" s="59">
        <f>$B107*$E107</f>
        <v/>
      </c>
    </row>
    <row r="108">
      <c r="A108" s="56" t="n">
        <v>51</v>
      </c>
      <c r="B108" s="46" t="n">
        <v>0</v>
      </c>
      <c r="C108" s="57">
        <f>CR_a*(1-EXP(-CR_b*$A108))^CR_c</f>
        <v/>
      </c>
      <c r="D108" s="57">
        <f>$B108*$C108</f>
        <v/>
      </c>
      <c r="E108" s="57">
        <f>IF($A108&gt;=RotationAge,ExitPrice*$C108+LEVT_Exit,(ExitPrice*VolAtRotation+LEVT_Exit)/(1+DiscRate)^(RotationAge-$A108))</f>
        <v/>
      </c>
      <c r="F108" s="59">
        <f>$B108*$E108</f>
        <v/>
      </c>
    </row>
    <row r="109">
      <c r="A109" s="56" t="n">
        <v>52</v>
      </c>
      <c r="B109" s="46" t="n">
        <v>0</v>
      </c>
      <c r="C109" s="57">
        <f>CR_a*(1-EXP(-CR_b*$A109))^CR_c</f>
        <v/>
      </c>
      <c r="D109" s="57">
        <f>$B109*$C109</f>
        <v/>
      </c>
      <c r="E109" s="57">
        <f>IF($A109&gt;=RotationAge,ExitPrice*$C109+LEVT_Exit,(ExitPrice*VolAtRotation+LEVT_Exit)/(1+DiscRate)^(RotationAge-$A109))</f>
        <v/>
      </c>
      <c r="F109" s="59">
        <f>$B109*$E109</f>
        <v/>
      </c>
    </row>
    <row r="110">
      <c r="A110" s="56" t="n">
        <v>53</v>
      </c>
      <c r="B110" s="46" t="n">
        <v>0</v>
      </c>
      <c r="C110" s="57">
        <f>CR_a*(1-EXP(-CR_b*$A110))^CR_c</f>
        <v/>
      </c>
      <c r="D110" s="57">
        <f>$B110*$C110</f>
        <v/>
      </c>
      <c r="E110" s="57">
        <f>IF($A110&gt;=RotationAge,ExitPrice*$C110+LEVT_Exit,(ExitPrice*VolAtRotation+LEVT_Exit)/(1+DiscRate)^(RotationAge-$A110))</f>
        <v/>
      </c>
      <c r="F110" s="59">
        <f>$B110*$E110</f>
        <v/>
      </c>
    </row>
    <row r="111">
      <c r="A111" s="56" t="n">
        <v>54</v>
      </c>
      <c r="B111" s="46" t="n">
        <v>0</v>
      </c>
      <c r="C111" s="57">
        <f>CR_a*(1-EXP(-CR_b*$A111))^CR_c</f>
        <v/>
      </c>
      <c r="D111" s="57">
        <f>$B111*$C111</f>
        <v/>
      </c>
      <c r="E111" s="57">
        <f>IF($A111&gt;=RotationAge,ExitPrice*$C111+LEVT_Exit,(ExitPrice*VolAtRotation+LEVT_Exit)/(1+DiscRate)^(RotationAge-$A111))</f>
        <v/>
      </c>
      <c r="F111" s="59">
        <f>$B111*$E111</f>
        <v/>
      </c>
    </row>
    <row r="112">
      <c r="A112" s="56" t="n">
        <v>55</v>
      </c>
      <c r="B112" s="46" t="n">
        <v>0</v>
      </c>
      <c r="C112" s="57">
        <f>CR_a*(1-EXP(-CR_b*$A112))^CR_c</f>
        <v/>
      </c>
      <c r="D112" s="57">
        <f>$B112*$C112</f>
        <v/>
      </c>
      <c r="E112" s="57">
        <f>IF($A112&gt;=RotationAge,ExitPrice*$C112+LEVT_Exit,(ExitPrice*VolAtRotation+LEVT_Exit)/(1+DiscRate)^(RotationAge-$A112))</f>
        <v/>
      </c>
      <c r="F112" s="59">
        <f>$B112*$E112</f>
        <v/>
      </c>
    </row>
    <row r="113">
      <c r="A113" s="56" t="n">
        <v>56</v>
      </c>
      <c r="B113" s="46" t="n">
        <v>0</v>
      </c>
      <c r="C113" s="57">
        <f>CR_a*(1-EXP(-CR_b*$A113))^CR_c</f>
        <v/>
      </c>
      <c r="D113" s="57">
        <f>$B113*$C113</f>
        <v/>
      </c>
      <c r="E113" s="57">
        <f>IF($A113&gt;=RotationAge,ExitPrice*$C113+LEVT_Exit,(ExitPrice*VolAtRotation+LEVT_Exit)/(1+DiscRate)^(RotationAge-$A113))</f>
        <v/>
      </c>
      <c r="F113" s="59">
        <f>$B113*$E113</f>
        <v/>
      </c>
    </row>
    <row r="114">
      <c r="A114" s="56" t="n">
        <v>57</v>
      </c>
      <c r="B114" s="46" t="n">
        <v>0</v>
      </c>
      <c r="C114" s="57">
        <f>CR_a*(1-EXP(-CR_b*$A114))^CR_c</f>
        <v/>
      </c>
      <c r="D114" s="57">
        <f>$B114*$C114</f>
        <v/>
      </c>
      <c r="E114" s="57">
        <f>IF($A114&gt;=RotationAge,ExitPrice*$C114+LEVT_Exit,(ExitPrice*VolAtRotation+LEVT_Exit)/(1+DiscRate)^(RotationAge-$A114))</f>
        <v/>
      </c>
      <c r="F114" s="59">
        <f>$B114*$E114</f>
        <v/>
      </c>
    </row>
    <row r="115">
      <c r="A115" s="56" t="n">
        <v>58</v>
      </c>
      <c r="B115" s="46" t="n">
        <v>0</v>
      </c>
      <c r="C115" s="57">
        <f>CR_a*(1-EXP(-CR_b*$A115))^CR_c</f>
        <v/>
      </c>
      <c r="D115" s="57">
        <f>$B115*$C115</f>
        <v/>
      </c>
      <c r="E115" s="57">
        <f>IF($A115&gt;=RotationAge,ExitPrice*$C115+LEVT_Exit,(ExitPrice*VolAtRotation+LEVT_Exit)/(1+DiscRate)^(RotationAge-$A115))</f>
        <v/>
      </c>
      <c r="F115" s="59">
        <f>$B115*$E115</f>
        <v/>
      </c>
    </row>
    <row r="116">
      <c r="A116" s="56" t="n">
        <v>59</v>
      </c>
      <c r="B116" s="46" t="n">
        <v>0</v>
      </c>
      <c r="C116" s="57">
        <f>CR_a*(1-EXP(-CR_b*$A116))^CR_c</f>
        <v/>
      </c>
      <c r="D116" s="57">
        <f>$B116*$C116</f>
        <v/>
      </c>
      <c r="E116" s="57">
        <f>IF($A116&gt;=RotationAge,ExitPrice*$C116+LEVT_Exit,(ExitPrice*VolAtRotation+LEVT_Exit)/(1+DiscRate)^(RotationAge-$A116))</f>
        <v/>
      </c>
      <c r="F116" s="59">
        <f>$B116*$E116</f>
        <v/>
      </c>
    </row>
    <row r="117">
      <c r="A117" s="56" t="n">
        <v>60</v>
      </c>
      <c r="B117" s="46" t="n">
        <v>0</v>
      </c>
      <c r="C117" s="57">
        <f>CR_a*(1-EXP(-CR_b*$A117))^CR_c</f>
        <v/>
      </c>
      <c r="D117" s="57">
        <f>$B117*$C117</f>
        <v/>
      </c>
      <c r="E117" s="57">
        <f>IF($A117&gt;=RotationAge,ExitPrice*$C117+LEVT_Exit,(ExitPrice*VolAtRotation+LEVT_Exit)/(1+DiscRate)^(RotationAge-$A117))</f>
        <v/>
      </c>
      <c r="F117" s="59">
        <f>$B117*$E117</f>
        <v/>
      </c>
    </row>
    <row r="118">
      <c r="A118" s="56" t="n">
        <v>61</v>
      </c>
      <c r="B118" s="46" t="n">
        <v>0</v>
      </c>
      <c r="C118" s="57">
        <f>CR_a*(1-EXP(-CR_b*$A118))^CR_c</f>
        <v/>
      </c>
      <c r="D118" s="57">
        <f>$B118*$C118</f>
        <v/>
      </c>
      <c r="E118" s="57">
        <f>IF($A118&gt;=RotationAge,ExitPrice*$C118+LEVT_Exit,(ExitPrice*VolAtRotation+LEVT_Exit)/(1+DiscRate)^(RotationAge-$A118))</f>
        <v/>
      </c>
      <c r="F118" s="59">
        <f>$B118*$E118</f>
        <v/>
      </c>
    </row>
    <row r="119">
      <c r="A119" s="56" t="n">
        <v>62</v>
      </c>
      <c r="B119" s="46" t="n">
        <v>0</v>
      </c>
      <c r="C119" s="57">
        <f>CR_a*(1-EXP(-CR_b*$A119))^CR_c</f>
        <v/>
      </c>
      <c r="D119" s="57">
        <f>$B119*$C119</f>
        <v/>
      </c>
      <c r="E119" s="57">
        <f>IF($A119&gt;=RotationAge,ExitPrice*$C119+LEVT_Exit,(ExitPrice*VolAtRotation+LEVT_Exit)/(1+DiscRate)^(RotationAge-$A119))</f>
        <v/>
      </c>
      <c r="F119" s="59">
        <f>$B119*$E119</f>
        <v/>
      </c>
    </row>
    <row r="120">
      <c r="A120" s="56" t="n">
        <v>63</v>
      </c>
      <c r="B120" s="46" t="n">
        <v>0</v>
      </c>
      <c r="C120" s="57">
        <f>CR_a*(1-EXP(-CR_b*$A120))^CR_c</f>
        <v/>
      </c>
      <c r="D120" s="57">
        <f>$B120*$C120</f>
        <v/>
      </c>
      <c r="E120" s="57">
        <f>IF($A120&gt;=RotationAge,ExitPrice*$C120+LEVT_Exit,(ExitPrice*VolAtRotation+LEVT_Exit)/(1+DiscRate)^(RotationAge-$A120))</f>
        <v/>
      </c>
      <c r="F120" s="59">
        <f>$B120*$E120</f>
        <v/>
      </c>
    </row>
    <row r="121">
      <c r="A121" s="56" t="n">
        <v>64</v>
      </c>
      <c r="B121" s="46" t="n">
        <v>0</v>
      </c>
      <c r="C121" s="57">
        <f>CR_a*(1-EXP(-CR_b*$A121))^CR_c</f>
        <v/>
      </c>
      <c r="D121" s="57">
        <f>$B121*$C121</f>
        <v/>
      </c>
      <c r="E121" s="57">
        <f>IF($A121&gt;=RotationAge,ExitPrice*$C121+LEVT_Exit,(ExitPrice*VolAtRotation+LEVT_Exit)/(1+DiscRate)^(RotationAge-$A121))</f>
        <v/>
      </c>
      <c r="F121" s="59">
        <f>$B121*$E121</f>
        <v/>
      </c>
    </row>
    <row r="122">
      <c r="A122" s="56" t="n">
        <v>65</v>
      </c>
      <c r="B122" s="46" t="n">
        <v>0</v>
      </c>
      <c r="C122" s="57">
        <f>CR_a*(1-EXP(-CR_b*$A122))^CR_c</f>
        <v/>
      </c>
      <c r="D122" s="57">
        <f>$B122*$C122</f>
        <v/>
      </c>
      <c r="E122" s="57">
        <f>IF($A122&gt;=RotationAge,ExitPrice*$C122+LEVT_Exit,(ExitPrice*VolAtRotation+LEVT_Exit)/(1+DiscRate)^(RotationAge-$A122))</f>
        <v/>
      </c>
      <c r="F122" s="59">
        <f>$B122*$E122</f>
        <v/>
      </c>
    </row>
    <row r="123">
      <c r="A123" s="56" t="n">
        <v>66</v>
      </c>
      <c r="B123" s="46" t="n">
        <v>0</v>
      </c>
      <c r="C123" s="57">
        <f>CR_a*(1-EXP(-CR_b*$A123))^CR_c</f>
        <v/>
      </c>
      <c r="D123" s="57">
        <f>$B123*$C123</f>
        <v/>
      </c>
      <c r="E123" s="57">
        <f>IF($A123&gt;=RotationAge,ExitPrice*$C123+LEVT_Exit,(ExitPrice*VolAtRotation+LEVT_Exit)/(1+DiscRate)^(RotationAge-$A123))</f>
        <v/>
      </c>
      <c r="F123" s="59">
        <f>$B123*$E123</f>
        <v/>
      </c>
    </row>
    <row r="124">
      <c r="A124" s="56" t="n">
        <v>67</v>
      </c>
      <c r="B124" s="46" t="n">
        <v>0</v>
      </c>
      <c r="C124" s="57">
        <f>CR_a*(1-EXP(-CR_b*$A124))^CR_c</f>
        <v/>
      </c>
      <c r="D124" s="57">
        <f>$B124*$C124</f>
        <v/>
      </c>
      <c r="E124" s="57">
        <f>IF($A124&gt;=RotationAge,ExitPrice*$C124+LEVT_Exit,(ExitPrice*VolAtRotation+LEVT_Exit)/(1+DiscRate)^(RotationAge-$A124))</f>
        <v/>
      </c>
      <c r="F124" s="59">
        <f>$B124*$E124</f>
        <v/>
      </c>
    </row>
    <row r="125">
      <c r="A125" s="56" t="n">
        <v>68</v>
      </c>
      <c r="B125" s="46" t="n">
        <v>0</v>
      </c>
      <c r="C125" s="57">
        <f>CR_a*(1-EXP(-CR_b*$A125))^CR_c</f>
        <v/>
      </c>
      <c r="D125" s="57">
        <f>$B125*$C125</f>
        <v/>
      </c>
      <c r="E125" s="57">
        <f>IF($A125&gt;=RotationAge,ExitPrice*$C125+LEVT_Exit,(ExitPrice*VolAtRotation+LEVT_Exit)/(1+DiscRate)^(RotationAge-$A125))</f>
        <v/>
      </c>
      <c r="F125" s="59">
        <f>$B125*$E125</f>
        <v/>
      </c>
    </row>
    <row r="126">
      <c r="A126" s="56" t="n">
        <v>69</v>
      </c>
      <c r="B126" s="46" t="n">
        <v>0</v>
      </c>
      <c r="C126" s="57">
        <f>CR_a*(1-EXP(-CR_b*$A126))^CR_c</f>
        <v/>
      </c>
      <c r="D126" s="57">
        <f>$B126*$C126</f>
        <v/>
      </c>
      <c r="E126" s="57">
        <f>IF($A126&gt;=RotationAge,ExitPrice*$C126+LEVT_Exit,(ExitPrice*VolAtRotation+LEVT_Exit)/(1+DiscRate)^(RotationAge-$A126))</f>
        <v/>
      </c>
      <c r="F126" s="59">
        <f>$B126*$E126</f>
        <v/>
      </c>
    </row>
    <row r="127">
      <c r="A127" s="56" t="n">
        <v>70</v>
      </c>
      <c r="B127" s="46" t="n">
        <v>0</v>
      </c>
      <c r="C127" s="57">
        <f>CR_a*(1-EXP(-CR_b*$A127))^CR_c</f>
        <v/>
      </c>
      <c r="D127" s="57">
        <f>$B127*$C127</f>
        <v/>
      </c>
      <c r="E127" s="57">
        <f>IF($A127&gt;=RotationAge,ExitPrice*$C127+LEVT_Exit,(ExitPrice*VolAtRotation+LEVT_Exit)/(1+DiscRate)^(RotationAge-$A127))</f>
        <v/>
      </c>
      <c r="F127" s="59">
        <f>$B127*$E127</f>
        <v/>
      </c>
    </row>
    <row r="128">
      <c r="A128" s="56" t="n">
        <v>71</v>
      </c>
      <c r="B128" s="46" t="n">
        <v>0</v>
      </c>
      <c r="C128" s="57">
        <f>CR_a*(1-EXP(-CR_b*$A128))^CR_c</f>
        <v/>
      </c>
      <c r="D128" s="57">
        <f>$B128*$C128</f>
        <v/>
      </c>
      <c r="E128" s="57">
        <f>IF($A128&gt;=RotationAge,ExitPrice*$C128+LEVT_Exit,(ExitPrice*VolAtRotation+LEVT_Exit)/(1+DiscRate)^(RotationAge-$A128))</f>
        <v/>
      </c>
      <c r="F128" s="59">
        <f>$B128*$E128</f>
        <v/>
      </c>
    </row>
    <row r="129">
      <c r="A129" s="56" t="n">
        <v>72</v>
      </c>
      <c r="B129" s="46" t="n">
        <v>0</v>
      </c>
      <c r="C129" s="57">
        <f>CR_a*(1-EXP(-CR_b*$A129))^CR_c</f>
        <v/>
      </c>
      <c r="D129" s="57">
        <f>$B129*$C129</f>
        <v/>
      </c>
      <c r="E129" s="57">
        <f>IF($A129&gt;=RotationAge,ExitPrice*$C129+LEVT_Exit,(ExitPrice*VolAtRotation+LEVT_Exit)/(1+DiscRate)^(RotationAge-$A129))</f>
        <v/>
      </c>
      <c r="F129" s="59">
        <f>$B129*$E129</f>
        <v/>
      </c>
    </row>
    <row r="130">
      <c r="A130" s="56" t="n">
        <v>73</v>
      </c>
      <c r="B130" s="46" t="n">
        <v>0</v>
      </c>
      <c r="C130" s="57">
        <f>CR_a*(1-EXP(-CR_b*$A130))^CR_c</f>
        <v/>
      </c>
      <c r="D130" s="57">
        <f>$B130*$C130</f>
        <v/>
      </c>
      <c r="E130" s="57">
        <f>IF($A130&gt;=RotationAge,ExitPrice*$C130+LEVT_Exit,(ExitPrice*VolAtRotation+LEVT_Exit)/(1+DiscRate)^(RotationAge-$A130))</f>
        <v/>
      </c>
      <c r="F130" s="59">
        <f>$B130*$E130</f>
        <v/>
      </c>
    </row>
    <row r="131">
      <c r="A131" s="56" t="n">
        <v>74</v>
      </c>
      <c r="B131" s="46" t="n">
        <v>0</v>
      </c>
      <c r="C131" s="57">
        <f>CR_a*(1-EXP(-CR_b*$A131))^CR_c</f>
        <v/>
      </c>
      <c r="D131" s="57">
        <f>$B131*$C131</f>
        <v/>
      </c>
      <c r="E131" s="57">
        <f>IF($A131&gt;=RotationAge,ExitPrice*$C131+LEVT_Exit,(ExitPrice*VolAtRotation+LEVT_Exit)/(1+DiscRate)^(RotationAge-$A131))</f>
        <v/>
      </c>
      <c r="F131" s="59">
        <f>$B131*$E131</f>
        <v/>
      </c>
    </row>
    <row r="132">
      <c r="A132" s="56" t="n">
        <v>75</v>
      </c>
      <c r="B132" s="46" t="n">
        <v>0</v>
      </c>
      <c r="C132" s="57">
        <f>CR_a*(1-EXP(-CR_b*$A132))^CR_c</f>
        <v/>
      </c>
      <c r="D132" s="57">
        <f>$B132*$C132</f>
        <v/>
      </c>
      <c r="E132" s="57">
        <f>IF($A132&gt;=RotationAge,ExitPrice*$C132+LEVT_Exit,(ExitPrice*VolAtRotation+LEVT_Exit)/(1+DiscRate)^(RotationAge-$A132))</f>
        <v/>
      </c>
      <c r="F132" s="59">
        <f>$B132*$E132</f>
        <v/>
      </c>
    </row>
    <row r="133">
      <c r="A133" s="56" t="n">
        <v>76</v>
      </c>
      <c r="B133" s="46" t="n">
        <v>0</v>
      </c>
      <c r="C133" s="57">
        <f>CR_a*(1-EXP(-CR_b*$A133))^CR_c</f>
        <v/>
      </c>
      <c r="D133" s="57">
        <f>$B133*$C133</f>
        <v/>
      </c>
      <c r="E133" s="57">
        <f>IF($A133&gt;=RotationAge,ExitPrice*$C133+LEVT_Exit,(ExitPrice*VolAtRotation+LEVT_Exit)/(1+DiscRate)^(RotationAge-$A133))</f>
        <v/>
      </c>
      <c r="F133" s="59">
        <f>$B133*$E133</f>
        <v/>
      </c>
    </row>
    <row r="134">
      <c r="A134" s="56" t="n">
        <v>77</v>
      </c>
      <c r="B134" s="46" t="n">
        <v>0</v>
      </c>
      <c r="C134" s="57">
        <f>CR_a*(1-EXP(-CR_b*$A134))^CR_c</f>
        <v/>
      </c>
      <c r="D134" s="57">
        <f>$B134*$C134</f>
        <v/>
      </c>
      <c r="E134" s="57">
        <f>IF($A134&gt;=RotationAge,ExitPrice*$C134+LEVT_Exit,(ExitPrice*VolAtRotation+LEVT_Exit)/(1+DiscRate)^(RotationAge-$A134))</f>
        <v/>
      </c>
      <c r="F134" s="59">
        <f>$B134*$E134</f>
        <v/>
      </c>
    </row>
    <row r="135">
      <c r="A135" s="56" t="n">
        <v>78</v>
      </c>
      <c r="B135" s="46" t="n">
        <v>0</v>
      </c>
      <c r="C135" s="57">
        <f>CR_a*(1-EXP(-CR_b*$A135))^CR_c</f>
        <v/>
      </c>
      <c r="D135" s="57">
        <f>$B135*$C135</f>
        <v/>
      </c>
      <c r="E135" s="57">
        <f>IF($A135&gt;=RotationAge,ExitPrice*$C135+LEVT_Exit,(ExitPrice*VolAtRotation+LEVT_Exit)/(1+DiscRate)^(RotationAge-$A135))</f>
        <v/>
      </c>
      <c r="F135" s="59">
        <f>$B135*$E135</f>
        <v/>
      </c>
    </row>
    <row r="136">
      <c r="A136" s="56" t="n">
        <v>79</v>
      </c>
      <c r="B136" s="46" t="n">
        <v>0</v>
      </c>
      <c r="C136" s="57">
        <f>CR_a*(1-EXP(-CR_b*$A136))^CR_c</f>
        <v/>
      </c>
      <c r="D136" s="57">
        <f>$B136*$C136</f>
        <v/>
      </c>
      <c r="E136" s="57">
        <f>IF($A136&gt;=RotationAge,ExitPrice*$C136+LEVT_Exit,(ExitPrice*VolAtRotation+LEVT_Exit)/(1+DiscRate)^(RotationAge-$A136))</f>
        <v/>
      </c>
      <c r="F136" s="59">
        <f>$B136*$E136</f>
        <v/>
      </c>
    </row>
    <row r="137">
      <c r="A137" s="56" t="n">
        <v>80</v>
      </c>
      <c r="B137" s="46" t="n">
        <v>0</v>
      </c>
      <c r="C137" s="57">
        <f>CR_a*(1-EXP(-CR_b*$A137))^CR_c</f>
        <v/>
      </c>
      <c r="D137" s="57">
        <f>$B137*$C137</f>
        <v/>
      </c>
      <c r="E137" s="57">
        <f>IF($A137&gt;=RotationAge,ExitPrice*$C137+LEVT_Exit,(ExitPrice*VolAtRotation+LEVT_Exit)/(1+DiscRate)^(RotationAge-$A137))</f>
        <v/>
      </c>
      <c r="F137" s="59">
        <f>$B137*$E137</f>
        <v/>
      </c>
    </row>
    <row r="138">
      <c r="A138" s="56" t="n">
        <v>81</v>
      </c>
      <c r="B138" s="46" t="n">
        <v>0</v>
      </c>
      <c r="C138" s="57">
        <f>CR_a*(1-EXP(-CR_b*$A138))^CR_c</f>
        <v/>
      </c>
      <c r="D138" s="57">
        <f>$B138*$C138</f>
        <v/>
      </c>
      <c r="E138" s="57">
        <f>IF($A138&gt;=RotationAge,ExitPrice*$C138+LEVT_Exit,(ExitPrice*VolAtRotation+LEVT_Exit)/(1+DiscRate)^(RotationAge-$A138))</f>
        <v/>
      </c>
      <c r="F138" s="59">
        <f>$B138*$E138</f>
        <v/>
      </c>
    </row>
    <row r="139">
      <c r="A139" s="56" t="n">
        <v>82</v>
      </c>
      <c r="B139" s="46" t="n">
        <v>0</v>
      </c>
      <c r="C139" s="57">
        <f>CR_a*(1-EXP(-CR_b*$A139))^CR_c</f>
        <v/>
      </c>
      <c r="D139" s="57">
        <f>$B139*$C139</f>
        <v/>
      </c>
      <c r="E139" s="57">
        <f>IF($A139&gt;=RotationAge,ExitPrice*$C139+LEVT_Exit,(ExitPrice*VolAtRotation+LEVT_Exit)/(1+DiscRate)^(RotationAge-$A139))</f>
        <v/>
      </c>
      <c r="F139" s="59">
        <f>$B139*$E139</f>
        <v/>
      </c>
    </row>
    <row r="140">
      <c r="A140" s="56" t="n">
        <v>83</v>
      </c>
      <c r="B140" s="46" t="n">
        <v>0</v>
      </c>
      <c r="C140" s="57">
        <f>CR_a*(1-EXP(-CR_b*$A140))^CR_c</f>
        <v/>
      </c>
      <c r="D140" s="57">
        <f>$B140*$C140</f>
        <v/>
      </c>
      <c r="E140" s="57">
        <f>IF($A140&gt;=RotationAge,ExitPrice*$C140+LEVT_Exit,(ExitPrice*VolAtRotation+LEVT_Exit)/(1+DiscRate)^(RotationAge-$A140))</f>
        <v/>
      </c>
      <c r="F140" s="59">
        <f>$B140*$E140</f>
        <v/>
      </c>
    </row>
    <row r="141">
      <c r="A141" s="56" t="n">
        <v>84</v>
      </c>
      <c r="B141" s="46" t="n">
        <v>0</v>
      </c>
      <c r="C141" s="57">
        <f>CR_a*(1-EXP(-CR_b*$A141))^CR_c</f>
        <v/>
      </c>
      <c r="D141" s="57">
        <f>$B141*$C141</f>
        <v/>
      </c>
      <c r="E141" s="57">
        <f>IF($A141&gt;=RotationAge,ExitPrice*$C141+LEVT_Exit,(ExitPrice*VolAtRotation+LEVT_Exit)/(1+DiscRate)^(RotationAge-$A141))</f>
        <v/>
      </c>
      <c r="F141" s="59">
        <f>$B141*$E141</f>
        <v/>
      </c>
    </row>
    <row r="142">
      <c r="A142" s="56" t="n">
        <v>85</v>
      </c>
      <c r="B142" s="46" t="n">
        <v>0</v>
      </c>
      <c r="C142" s="57">
        <f>CR_a*(1-EXP(-CR_b*$A142))^CR_c</f>
        <v/>
      </c>
      <c r="D142" s="57">
        <f>$B142*$C142</f>
        <v/>
      </c>
      <c r="E142" s="57">
        <f>IF($A142&gt;=RotationAge,ExitPrice*$C142+LEVT_Exit,(ExitPrice*VolAtRotation+LEVT_Exit)/(1+DiscRate)^(RotationAge-$A142))</f>
        <v/>
      </c>
      <c r="F142" s="59">
        <f>$B142*$E142</f>
        <v/>
      </c>
    </row>
    <row r="143">
      <c r="A143" s="56" t="n">
        <v>86</v>
      </c>
      <c r="B143" s="46" t="n">
        <v>0</v>
      </c>
      <c r="C143" s="57">
        <f>CR_a*(1-EXP(-CR_b*$A143))^CR_c</f>
        <v/>
      </c>
      <c r="D143" s="57">
        <f>$B143*$C143</f>
        <v/>
      </c>
      <c r="E143" s="57">
        <f>IF($A143&gt;=RotationAge,ExitPrice*$C143+LEVT_Exit,(ExitPrice*VolAtRotation+LEVT_Exit)/(1+DiscRate)^(RotationAge-$A143))</f>
        <v/>
      </c>
      <c r="F143" s="59">
        <f>$B143*$E143</f>
        <v/>
      </c>
    </row>
    <row r="144">
      <c r="A144" s="56" t="n">
        <v>87</v>
      </c>
      <c r="B144" s="46" t="n">
        <v>0</v>
      </c>
      <c r="C144" s="57">
        <f>CR_a*(1-EXP(-CR_b*$A144))^CR_c</f>
        <v/>
      </c>
      <c r="D144" s="57">
        <f>$B144*$C144</f>
        <v/>
      </c>
      <c r="E144" s="57">
        <f>IF($A144&gt;=RotationAge,ExitPrice*$C144+LEVT_Exit,(ExitPrice*VolAtRotation+LEVT_Exit)/(1+DiscRate)^(RotationAge-$A144))</f>
        <v/>
      </c>
      <c r="F144" s="59">
        <f>$B144*$E144</f>
        <v/>
      </c>
    </row>
    <row r="145">
      <c r="A145" s="56" t="n">
        <v>88</v>
      </c>
      <c r="B145" s="46" t="n">
        <v>0</v>
      </c>
      <c r="C145" s="57">
        <f>CR_a*(1-EXP(-CR_b*$A145))^CR_c</f>
        <v/>
      </c>
      <c r="D145" s="57">
        <f>$B145*$C145</f>
        <v/>
      </c>
      <c r="E145" s="57">
        <f>IF($A145&gt;=RotationAge,ExitPrice*$C145+LEVT_Exit,(ExitPrice*VolAtRotation+LEVT_Exit)/(1+DiscRate)^(RotationAge-$A145))</f>
        <v/>
      </c>
      <c r="F145" s="59">
        <f>$B145*$E145</f>
        <v/>
      </c>
    </row>
    <row r="146">
      <c r="A146" s="56" t="n">
        <v>89</v>
      </c>
      <c r="B146" s="46" t="n">
        <v>0</v>
      </c>
      <c r="C146" s="57">
        <f>CR_a*(1-EXP(-CR_b*$A146))^CR_c</f>
        <v/>
      </c>
      <c r="D146" s="57">
        <f>$B146*$C146</f>
        <v/>
      </c>
      <c r="E146" s="57">
        <f>IF($A146&gt;=RotationAge,ExitPrice*$C146+LEVT_Exit,(ExitPrice*VolAtRotation+LEVT_Exit)/(1+DiscRate)^(RotationAge-$A146))</f>
        <v/>
      </c>
      <c r="F146" s="59">
        <f>$B146*$E146</f>
        <v/>
      </c>
    </row>
    <row r="147">
      <c r="A147" s="56" t="n">
        <v>90</v>
      </c>
      <c r="B147" s="46" t="n">
        <v>0</v>
      </c>
      <c r="C147" s="57">
        <f>CR_a*(1-EXP(-CR_b*$A147))^CR_c</f>
        <v/>
      </c>
      <c r="D147" s="57">
        <f>$B147*$C147</f>
        <v/>
      </c>
      <c r="E147" s="57">
        <f>IF($A147&gt;=RotationAge,ExitPrice*$C147+LEVT_Exit,(ExitPrice*VolAtRotation+LEVT_Exit)/(1+DiscRate)^(RotationAge-$A147))</f>
        <v/>
      </c>
      <c r="F147" s="59">
        <f>$B147*$E147</f>
        <v/>
      </c>
    </row>
    <row r="148">
      <c r="A148" s="56" t="n">
        <v>91</v>
      </c>
      <c r="B148" s="46" t="n">
        <v>0</v>
      </c>
      <c r="C148" s="57">
        <f>CR_a*(1-EXP(-CR_b*$A148))^CR_c</f>
        <v/>
      </c>
      <c r="D148" s="57">
        <f>$B148*$C148</f>
        <v/>
      </c>
      <c r="E148" s="57">
        <f>IF($A148&gt;=RotationAge,ExitPrice*$C148+LEVT_Exit,(ExitPrice*VolAtRotation+LEVT_Exit)/(1+DiscRate)^(RotationAge-$A148))</f>
        <v/>
      </c>
      <c r="F148" s="59">
        <f>$B148*$E148</f>
        <v/>
      </c>
    </row>
    <row r="149">
      <c r="A149" s="56" t="n">
        <v>92</v>
      </c>
      <c r="B149" s="46" t="n">
        <v>0</v>
      </c>
      <c r="C149" s="57">
        <f>CR_a*(1-EXP(-CR_b*$A149))^CR_c</f>
        <v/>
      </c>
      <c r="D149" s="57">
        <f>$B149*$C149</f>
        <v/>
      </c>
      <c r="E149" s="57">
        <f>IF($A149&gt;=RotationAge,ExitPrice*$C149+LEVT_Exit,(ExitPrice*VolAtRotation+LEVT_Exit)/(1+DiscRate)^(RotationAge-$A149))</f>
        <v/>
      </c>
      <c r="F149" s="59">
        <f>$B149*$E149</f>
        <v/>
      </c>
    </row>
    <row r="150">
      <c r="A150" s="56" t="n">
        <v>93</v>
      </c>
      <c r="B150" s="46" t="n">
        <v>0</v>
      </c>
      <c r="C150" s="57">
        <f>CR_a*(1-EXP(-CR_b*$A150))^CR_c</f>
        <v/>
      </c>
      <c r="D150" s="57">
        <f>$B150*$C150</f>
        <v/>
      </c>
      <c r="E150" s="57">
        <f>IF($A150&gt;=RotationAge,ExitPrice*$C150+LEVT_Exit,(ExitPrice*VolAtRotation+LEVT_Exit)/(1+DiscRate)^(RotationAge-$A150))</f>
        <v/>
      </c>
      <c r="F150" s="59">
        <f>$B150*$E150</f>
        <v/>
      </c>
    </row>
    <row r="151">
      <c r="A151" s="56" t="n">
        <v>94</v>
      </c>
      <c r="B151" s="46" t="n">
        <v>0</v>
      </c>
      <c r="C151" s="57">
        <f>CR_a*(1-EXP(-CR_b*$A151))^CR_c</f>
        <v/>
      </c>
      <c r="D151" s="57">
        <f>$B151*$C151</f>
        <v/>
      </c>
      <c r="E151" s="57">
        <f>IF($A151&gt;=RotationAge,ExitPrice*$C151+LEVT_Exit,(ExitPrice*VolAtRotation+LEVT_Exit)/(1+DiscRate)^(RotationAge-$A151))</f>
        <v/>
      </c>
      <c r="F151" s="59">
        <f>$B151*$E151</f>
        <v/>
      </c>
    </row>
    <row r="152">
      <c r="A152" s="56" t="n">
        <v>95</v>
      </c>
      <c r="B152" s="46" t="n">
        <v>0</v>
      </c>
      <c r="C152" s="57">
        <f>CR_a*(1-EXP(-CR_b*$A152))^CR_c</f>
        <v/>
      </c>
      <c r="D152" s="57">
        <f>$B152*$C152</f>
        <v/>
      </c>
      <c r="E152" s="57">
        <f>IF($A152&gt;=RotationAge,ExitPrice*$C152+LEVT_Exit,(ExitPrice*VolAtRotation+LEVT_Exit)/(1+DiscRate)^(RotationAge-$A152))</f>
        <v/>
      </c>
      <c r="F152" s="59">
        <f>$B152*$E152</f>
        <v/>
      </c>
    </row>
    <row r="153">
      <c r="A153" s="56" t="n">
        <v>96</v>
      </c>
      <c r="B153" s="46" t="n">
        <v>0</v>
      </c>
      <c r="C153" s="57">
        <f>CR_a*(1-EXP(-CR_b*$A153))^CR_c</f>
        <v/>
      </c>
      <c r="D153" s="57">
        <f>$B153*$C153</f>
        <v/>
      </c>
      <c r="E153" s="57">
        <f>IF($A153&gt;=RotationAge,ExitPrice*$C153+LEVT_Exit,(ExitPrice*VolAtRotation+LEVT_Exit)/(1+DiscRate)^(RotationAge-$A153))</f>
        <v/>
      </c>
      <c r="F153" s="59">
        <f>$B153*$E153</f>
        <v/>
      </c>
    </row>
    <row r="154">
      <c r="A154" s="56" t="n">
        <v>97</v>
      </c>
      <c r="B154" s="46" t="n">
        <v>0</v>
      </c>
      <c r="C154" s="57">
        <f>CR_a*(1-EXP(-CR_b*$A154))^CR_c</f>
        <v/>
      </c>
      <c r="D154" s="57">
        <f>$B154*$C154</f>
        <v/>
      </c>
      <c r="E154" s="57">
        <f>IF($A154&gt;=RotationAge,ExitPrice*$C154+LEVT_Exit,(ExitPrice*VolAtRotation+LEVT_Exit)/(1+DiscRate)^(RotationAge-$A154))</f>
        <v/>
      </c>
      <c r="F154" s="59">
        <f>$B154*$E154</f>
        <v/>
      </c>
    </row>
    <row r="155">
      <c r="A155" s="56" t="n">
        <v>98</v>
      </c>
      <c r="B155" s="46" t="n">
        <v>0</v>
      </c>
      <c r="C155" s="57">
        <f>CR_a*(1-EXP(-CR_b*$A155))^CR_c</f>
        <v/>
      </c>
      <c r="D155" s="57">
        <f>$B155*$C155</f>
        <v/>
      </c>
      <c r="E155" s="57">
        <f>IF($A155&gt;=RotationAge,ExitPrice*$C155+LEVT_Exit,(ExitPrice*VolAtRotation+LEVT_Exit)/(1+DiscRate)^(RotationAge-$A155))</f>
        <v/>
      </c>
      <c r="F155" s="59">
        <f>$B155*$E155</f>
        <v/>
      </c>
    </row>
    <row r="156">
      <c r="A156" s="56" t="n">
        <v>99</v>
      </c>
      <c r="B156" s="46" t="n">
        <v>0</v>
      </c>
      <c r="C156" s="57">
        <f>CR_a*(1-EXP(-CR_b*$A156))^CR_c</f>
        <v/>
      </c>
      <c r="D156" s="57">
        <f>$B156*$C156</f>
        <v/>
      </c>
      <c r="E156" s="57">
        <f>IF($A156&gt;=RotationAge,ExitPrice*$C156+LEVT_Exit,(ExitPrice*VolAtRotation+LEVT_Exit)/(1+DiscRate)^(RotationAge-$A156))</f>
        <v/>
      </c>
      <c r="F156" s="59">
        <f>$B156*$E156</f>
        <v/>
      </c>
    </row>
    <row r="157">
      <c r="A157" s="56" t="n">
        <v>100</v>
      </c>
      <c r="B157" s="46" t="n">
        <v>0</v>
      </c>
      <c r="C157" s="57">
        <f>CR_a*(1-EXP(-CR_b*$A157))^CR_c</f>
        <v/>
      </c>
      <c r="D157" s="57">
        <f>$B157*$C157</f>
        <v/>
      </c>
      <c r="E157" s="57">
        <f>IF($A157&gt;=RotationAge,ExitPrice*$C157+LEVT_Exit,(ExitPrice*VolAtRotation+LEVT_Exit)/(1+DiscRate)^(RotationAge-$A157))</f>
        <v/>
      </c>
      <c r="F157" s="59">
        <f>$B157*$E157</f>
        <v/>
      </c>
    </row>
    <row r="158">
      <c r="A158" s="56" t="n">
        <v>101</v>
      </c>
      <c r="B158" s="46" t="n">
        <v>0</v>
      </c>
      <c r="C158" s="57">
        <f>CR_a*(1-EXP(-CR_b*$A158))^CR_c</f>
        <v/>
      </c>
      <c r="D158" s="57">
        <f>$B158*$C158</f>
        <v/>
      </c>
      <c r="E158" s="57">
        <f>IF($A158&gt;=RotationAge,ExitPrice*$C158+LEVT_Exit,(ExitPrice*VolAtRotation+LEVT_Exit)/(1+DiscRate)^(RotationAge-$A158))</f>
        <v/>
      </c>
      <c r="F158" s="59">
        <f>$B158*$E158</f>
        <v/>
      </c>
    </row>
    <row r="159">
      <c r="A159" s="56" t="n">
        <v>102</v>
      </c>
      <c r="B159" s="46" t="n">
        <v>0</v>
      </c>
      <c r="C159" s="57">
        <f>CR_a*(1-EXP(-CR_b*$A159))^CR_c</f>
        <v/>
      </c>
      <c r="D159" s="57">
        <f>$B159*$C159</f>
        <v/>
      </c>
      <c r="E159" s="57">
        <f>IF($A159&gt;=RotationAge,ExitPrice*$C159+LEVT_Exit,(ExitPrice*VolAtRotation+LEVT_Exit)/(1+DiscRate)^(RotationAge-$A159))</f>
        <v/>
      </c>
      <c r="F159" s="59">
        <f>$B159*$E159</f>
        <v/>
      </c>
    </row>
    <row r="160">
      <c r="A160" s="56" t="n">
        <v>103</v>
      </c>
      <c r="B160" s="46" t="n">
        <v>0</v>
      </c>
      <c r="C160" s="57">
        <f>CR_a*(1-EXP(-CR_b*$A160))^CR_c</f>
        <v/>
      </c>
      <c r="D160" s="57">
        <f>$B160*$C160</f>
        <v/>
      </c>
      <c r="E160" s="57">
        <f>IF($A160&gt;=RotationAge,ExitPrice*$C160+LEVT_Exit,(ExitPrice*VolAtRotation+LEVT_Exit)/(1+DiscRate)^(RotationAge-$A160))</f>
        <v/>
      </c>
      <c r="F160" s="59">
        <f>$B160*$E160</f>
        <v/>
      </c>
    </row>
    <row r="161">
      <c r="A161" s="56" t="n">
        <v>104</v>
      </c>
      <c r="B161" s="46" t="n">
        <v>0</v>
      </c>
      <c r="C161" s="57">
        <f>CR_a*(1-EXP(-CR_b*$A161))^CR_c</f>
        <v/>
      </c>
      <c r="D161" s="57">
        <f>$B161*$C161</f>
        <v/>
      </c>
      <c r="E161" s="57">
        <f>IF($A161&gt;=RotationAge,ExitPrice*$C161+LEVT_Exit,(ExitPrice*VolAtRotation+LEVT_Exit)/(1+DiscRate)^(RotationAge-$A161))</f>
        <v/>
      </c>
      <c r="F161" s="59">
        <f>$B161*$E161</f>
        <v/>
      </c>
    </row>
    <row r="162">
      <c r="A162" s="56" t="n">
        <v>105</v>
      </c>
      <c r="B162" s="46" t="n">
        <v>0</v>
      </c>
      <c r="C162" s="57">
        <f>CR_a*(1-EXP(-CR_b*$A162))^CR_c</f>
        <v/>
      </c>
      <c r="D162" s="57">
        <f>$B162*$C162</f>
        <v/>
      </c>
      <c r="E162" s="57">
        <f>IF($A162&gt;=RotationAge,ExitPrice*$C162+LEVT_Exit,(ExitPrice*VolAtRotation+LEVT_Exit)/(1+DiscRate)^(RotationAge-$A162))</f>
        <v/>
      </c>
      <c r="F162" s="59">
        <f>$B162*$E162</f>
        <v/>
      </c>
    </row>
    <row r="163">
      <c r="A163" s="56" t="n">
        <v>106</v>
      </c>
      <c r="B163" s="46" t="n">
        <v>0</v>
      </c>
      <c r="C163" s="57">
        <f>CR_a*(1-EXP(-CR_b*$A163))^CR_c</f>
        <v/>
      </c>
      <c r="D163" s="57">
        <f>$B163*$C163</f>
        <v/>
      </c>
      <c r="E163" s="57">
        <f>IF($A163&gt;=RotationAge,ExitPrice*$C163+LEVT_Exit,(ExitPrice*VolAtRotation+LEVT_Exit)/(1+DiscRate)^(RotationAge-$A163))</f>
        <v/>
      </c>
      <c r="F163" s="59">
        <f>$B163*$E163</f>
        <v/>
      </c>
    </row>
    <row r="164">
      <c r="A164" s="56" t="n">
        <v>107</v>
      </c>
      <c r="B164" s="46" t="n">
        <v>0</v>
      </c>
      <c r="C164" s="57">
        <f>CR_a*(1-EXP(-CR_b*$A164))^CR_c</f>
        <v/>
      </c>
      <c r="D164" s="57">
        <f>$B164*$C164</f>
        <v/>
      </c>
      <c r="E164" s="57">
        <f>IF($A164&gt;=RotationAge,ExitPrice*$C164+LEVT_Exit,(ExitPrice*VolAtRotation+LEVT_Exit)/(1+DiscRate)^(RotationAge-$A164))</f>
        <v/>
      </c>
      <c r="F164" s="59">
        <f>$B164*$E164</f>
        <v/>
      </c>
    </row>
    <row r="165">
      <c r="A165" s="56" t="n">
        <v>108</v>
      </c>
      <c r="B165" s="46" t="n">
        <v>0</v>
      </c>
      <c r="C165" s="57">
        <f>CR_a*(1-EXP(-CR_b*$A165))^CR_c</f>
        <v/>
      </c>
      <c r="D165" s="57">
        <f>$B165*$C165</f>
        <v/>
      </c>
      <c r="E165" s="57">
        <f>IF($A165&gt;=RotationAge,ExitPrice*$C165+LEVT_Exit,(ExitPrice*VolAtRotation+LEVT_Exit)/(1+DiscRate)^(RotationAge-$A165))</f>
        <v/>
      </c>
      <c r="F165" s="59">
        <f>$B165*$E165</f>
        <v/>
      </c>
    </row>
    <row r="166">
      <c r="A166" s="56" t="n">
        <v>109</v>
      </c>
      <c r="B166" s="46" t="n">
        <v>0</v>
      </c>
      <c r="C166" s="57">
        <f>CR_a*(1-EXP(-CR_b*$A166))^CR_c</f>
        <v/>
      </c>
      <c r="D166" s="57">
        <f>$B166*$C166</f>
        <v/>
      </c>
      <c r="E166" s="57">
        <f>IF($A166&gt;=RotationAge,ExitPrice*$C166+LEVT_Exit,(ExitPrice*VolAtRotation+LEVT_Exit)/(1+DiscRate)^(RotationAge-$A166))</f>
        <v/>
      </c>
      <c r="F166" s="59">
        <f>$B166*$E166</f>
        <v/>
      </c>
    </row>
    <row r="167">
      <c r="A167" s="56" t="n">
        <v>110</v>
      </c>
      <c r="B167" s="46" t="n">
        <v>0</v>
      </c>
      <c r="C167" s="57">
        <f>CR_a*(1-EXP(-CR_b*$A167))^CR_c</f>
        <v/>
      </c>
      <c r="D167" s="57">
        <f>$B167*$C167</f>
        <v/>
      </c>
      <c r="E167" s="57">
        <f>IF($A167&gt;=RotationAge,ExitPrice*$C167+LEVT_Exit,(ExitPrice*VolAtRotation+LEVT_Exit)/(1+DiscRate)^(RotationAge-$A167))</f>
        <v/>
      </c>
      <c r="F167" s="59">
        <f>$B167*$E167</f>
        <v/>
      </c>
    </row>
    <row r="168">
      <c r="A168" s="56" t="n">
        <v>111</v>
      </c>
      <c r="B168" s="46" t="n">
        <v>0</v>
      </c>
      <c r="C168" s="57">
        <f>CR_a*(1-EXP(-CR_b*$A168))^CR_c</f>
        <v/>
      </c>
      <c r="D168" s="57">
        <f>$B168*$C168</f>
        <v/>
      </c>
      <c r="E168" s="57">
        <f>IF($A168&gt;=RotationAge,ExitPrice*$C168+LEVT_Exit,(ExitPrice*VolAtRotation+LEVT_Exit)/(1+DiscRate)^(RotationAge-$A168))</f>
        <v/>
      </c>
      <c r="F168" s="59">
        <f>$B168*$E168</f>
        <v/>
      </c>
    </row>
    <row r="169">
      <c r="A169" s="56" t="n">
        <v>112</v>
      </c>
      <c r="B169" s="46" t="n">
        <v>0</v>
      </c>
      <c r="C169" s="57">
        <f>CR_a*(1-EXP(-CR_b*$A169))^CR_c</f>
        <v/>
      </c>
      <c r="D169" s="57">
        <f>$B169*$C169</f>
        <v/>
      </c>
      <c r="E169" s="57">
        <f>IF($A169&gt;=RotationAge,ExitPrice*$C169+LEVT_Exit,(ExitPrice*VolAtRotation+LEVT_Exit)/(1+DiscRate)^(RotationAge-$A169))</f>
        <v/>
      </c>
      <c r="F169" s="59">
        <f>$B169*$E169</f>
        <v/>
      </c>
    </row>
    <row r="170">
      <c r="A170" s="56" t="n">
        <v>113</v>
      </c>
      <c r="B170" s="46" t="n">
        <v>0</v>
      </c>
      <c r="C170" s="57">
        <f>CR_a*(1-EXP(-CR_b*$A170))^CR_c</f>
        <v/>
      </c>
      <c r="D170" s="57">
        <f>$B170*$C170</f>
        <v/>
      </c>
      <c r="E170" s="57">
        <f>IF($A170&gt;=RotationAge,ExitPrice*$C170+LEVT_Exit,(ExitPrice*VolAtRotation+LEVT_Exit)/(1+DiscRate)^(RotationAge-$A170))</f>
        <v/>
      </c>
      <c r="F170" s="59">
        <f>$B170*$E170</f>
        <v/>
      </c>
    </row>
    <row r="171">
      <c r="A171" s="56" t="n">
        <v>114</v>
      </c>
      <c r="B171" s="46" t="n">
        <v>0</v>
      </c>
      <c r="C171" s="57">
        <f>CR_a*(1-EXP(-CR_b*$A171))^CR_c</f>
        <v/>
      </c>
      <c r="D171" s="57">
        <f>$B171*$C171</f>
        <v/>
      </c>
      <c r="E171" s="57">
        <f>IF($A171&gt;=RotationAge,ExitPrice*$C171+LEVT_Exit,(ExitPrice*VolAtRotation+LEVT_Exit)/(1+DiscRate)^(RotationAge-$A171))</f>
        <v/>
      </c>
      <c r="F171" s="59">
        <f>$B171*$E171</f>
        <v/>
      </c>
    </row>
    <row r="172">
      <c r="A172" s="56" t="n">
        <v>115</v>
      </c>
      <c r="B172" s="46" t="n">
        <v>0</v>
      </c>
      <c r="C172" s="57">
        <f>CR_a*(1-EXP(-CR_b*$A172))^CR_c</f>
        <v/>
      </c>
      <c r="D172" s="57">
        <f>$B172*$C172</f>
        <v/>
      </c>
      <c r="E172" s="57">
        <f>IF($A172&gt;=RotationAge,ExitPrice*$C172+LEVT_Exit,(ExitPrice*VolAtRotation+LEVT_Exit)/(1+DiscRate)^(RotationAge-$A172))</f>
        <v/>
      </c>
      <c r="F172" s="59">
        <f>$B172*$E172</f>
        <v/>
      </c>
    </row>
    <row r="173">
      <c r="A173" s="56" t="n">
        <v>116</v>
      </c>
      <c r="B173" s="46" t="n">
        <v>0</v>
      </c>
      <c r="C173" s="57">
        <f>CR_a*(1-EXP(-CR_b*$A173))^CR_c</f>
        <v/>
      </c>
      <c r="D173" s="57">
        <f>$B173*$C173</f>
        <v/>
      </c>
      <c r="E173" s="57">
        <f>IF($A173&gt;=RotationAge,ExitPrice*$C173+LEVT_Exit,(ExitPrice*VolAtRotation+LEVT_Exit)/(1+DiscRate)^(RotationAge-$A173))</f>
        <v/>
      </c>
      <c r="F173" s="59">
        <f>$B173*$E173</f>
        <v/>
      </c>
    </row>
    <row r="174">
      <c r="A174" s="56" t="n">
        <v>117</v>
      </c>
      <c r="B174" s="46" t="n">
        <v>0</v>
      </c>
      <c r="C174" s="57">
        <f>CR_a*(1-EXP(-CR_b*$A174))^CR_c</f>
        <v/>
      </c>
      <c r="D174" s="57">
        <f>$B174*$C174</f>
        <v/>
      </c>
      <c r="E174" s="57">
        <f>IF($A174&gt;=RotationAge,ExitPrice*$C174+LEVT_Exit,(ExitPrice*VolAtRotation+LEVT_Exit)/(1+DiscRate)^(RotationAge-$A174))</f>
        <v/>
      </c>
      <c r="F174" s="59">
        <f>$B174*$E174</f>
        <v/>
      </c>
    </row>
    <row r="175">
      <c r="A175" s="56" t="n">
        <v>118</v>
      </c>
      <c r="B175" s="46" t="n">
        <v>0</v>
      </c>
      <c r="C175" s="57">
        <f>CR_a*(1-EXP(-CR_b*$A175))^CR_c</f>
        <v/>
      </c>
      <c r="D175" s="57">
        <f>$B175*$C175</f>
        <v/>
      </c>
      <c r="E175" s="57">
        <f>IF($A175&gt;=RotationAge,ExitPrice*$C175+LEVT_Exit,(ExitPrice*VolAtRotation+LEVT_Exit)/(1+DiscRate)^(RotationAge-$A175))</f>
        <v/>
      </c>
      <c r="F175" s="59">
        <f>$B175*$E175</f>
        <v/>
      </c>
    </row>
    <row r="176">
      <c r="A176" s="56" t="n">
        <v>119</v>
      </c>
      <c r="B176" s="46" t="n">
        <v>0</v>
      </c>
      <c r="C176" s="57">
        <f>CR_a*(1-EXP(-CR_b*$A176))^CR_c</f>
        <v/>
      </c>
      <c r="D176" s="57">
        <f>$B176*$C176</f>
        <v/>
      </c>
      <c r="E176" s="57">
        <f>IF($A176&gt;=RotationAge,ExitPrice*$C176+LEVT_Exit,(ExitPrice*VolAtRotation+LEVT_Exit)/(1+DiscRate)^(RotationAge-$A176))</f>
        <v/>
      </c>
      <c r="F176" s="59">
        <f>$B176*$E176</f>
        <v/>
      </c>
    </row>
    <row r="177">
      <c r="A177" s="56" t="n">
        <v>120</v>
      </c>
      <c r="B177" s="46" t="n">
        <v>0</v>
      </c>
      <c r="C177" s="57">
        <f>CR_a*(1-EXP(-CR_b*$A177))^CR_c</f>
        <v/>
      </c>
      <c r="D177" s="57">
        <f>$B177*$C177</f>
        <v/>
      </c>
      <c r="E177" s="57">
        <f>IF($A177&gt;=RotationAge,ExitPrice*$C177+LEVT_Exit,(ExitPrice*VolAtRotation+LEVT_Exit)/(1+DiscRate)^(RotationAge-$A177))</f>
        <v/>
      </c>
      <c r="F177" s="59">
        <f>$B177*$E177</f>
        <v/>
      </c>
    </row>
    <row r="178">
      <c r="A178" s="56" t="n">
        <v>121</v>
      </c>
      <c r="B178" s="46" t="n">
        <v>0</v>
      </c>
      <c r="C178" s="57">
        <f>CR_a*(1-EXP(-CR_b*$A178))^CR_c</f>
        <v/>
      </c>
      <c r="D178" s="57">
        <f>$B178*$C178</f>
        <v/>
      </c>
      <c r="E178" s="57">
        <f>IF($A178&gt;=RotationAge,ExitPrice*$C178+LEVT_Exit,(ExitPrice*VolAtRotation+LEVT_Exit)/(1+DiscRate)^(RotationAge-$A178))</f>
        <v/>
      </c>
      <c r="F178" s="59">
        <f>$B178*$E178</f>
        <v/>
      </c>
    </row>
    <row r="179">
      <c r="A179" s="56" t="n">
        <v>122</v>
      </c>
      <c r="B179" s="46" t="n">
        <v>0</v>
      </c>
      <c r="C179" s="57">
        <f>CR_a*(1-EXP(-CR_b*$A179))^CR_c</f>
        <v/>
      </c>
      <c r="D179" s="57">
        <f>$B179*$C179</f>
        <v/>
      </c>
      <c r="E179" s="57">
        <f>IF($A179&gt;=RotationAge,ExitPrice*$C179+LEVT_Exit,(ExitPrice*VolAtRotation+LEVT_Exit)/(1+DiscRate)^(RotationAge-$A179))</f>
        <v/>
      </c>
      <c r="F179" s="59">
        <f>$B179*$E179</f>
        <v/>
      </c>
    </row>
    <row r="180">
      <c r="A180" s="56" t="n">
        <v>123</v>
      </c>
      <c r="B180" s="46" t="n">
        <v>0</v>
      </c>
      <c r="C180" s="57">
        <f>CR_a*(1-EXP(-CR_b*$A180))^CR_c</f>
        <v/>
      </c>
      <c r="D180" s="57">
        <f>$B180*$C180</f>
        <v/>
      </c>
      <c r="E180" s="57">
        <f>IF($A180&gt;=RotationAge,ExitPrice*$C180+LEVT_Exit,(ExitPrice*VolAtRotation+LEVT_Exit)/(1+DiscRate)^(RotationAge-$A180))</f>
        <v/>
      </c>
      <c r="F180" s="59">
        <f>$B180*$E180</f>
        <v/>
      </c>
    </row>
    <row r="181">
      <c r="A181" s="56" t="n">
        <v>124</v>
      </c>
      <c r="B181" s="46" t="n">
        <v>0</v>
      </c>
      <c r="C181" s="57">
        <f>CR_a*(1-EXP(-CR_b*$A181))^CR_c</f>
        <v/>
      </c>
      <c r="D181" s="57">
        <f>$B181*$C181</f>
        <v/>
      </c>
      <c r="E181" s="57">
        <f>IF($A181&gt;=RotationAge,ExitPrice*$C181+LEVT_Exit,(ExitPrice*VolAtRotation+LEVT_Exit)/(1+DiscRate)^(RotationAge-$A181))</f>
        <v/>
      </c>
      <c r="F181" s="59">
        <f>$B181*$E181</f>
        <v/>
      </c>
    </row>
    <row r="182">
      <c r="A182" s="56" t="n">
        <v>125</v>
      </c>
      <c r="B182" s="46" t="n">
        <v>0</v>
      </c>
      <c r="C182" s="57">
        <f>CR_a*(1-EXP(-CR_b*$A182))^CR_c</f>
        <v/>
      </c>
      <c r="D182" s="57">
        <f>$B182*$C182</f>
        <v/>
      </c>
      <c r="E182" s="57">
        <f>IF($A182&gt;=RotationAge,ExitPrice*$C182+LEVT_Exit,(ExitPrice*VolAtRotation+LEVT_Exit)/(1+DiscRate)^(RotationAge-$A182))</f>
        <v/>
      </c>
      <c r="F182" s="59">
        <f>$B182*$E182</f>
        <v/>
      </c>
    </row>
    <row r="183">
      <c r="A183" s="56" t="n">
        <v>126</v>
      </c>
      <c r="B183" s="46" t="n">
        <v>0</v>
      </c>
      <c r="C183" s="57">
        <f>CR_a*(1-EXP(-CR_b*$A183))^CR_c</f>
        <v/>
      </c>
      <c r="D183" s="57">
        <f>$B183*$C183</f>
        <v/>
      </c>
      <c r="E183" s="57">
        <f>IF($A183&gt;=RotationAge,ExitPrice*$C183+LEVT_Exit,(ExitPrice*VolAtRotation+LEVT_Exit)/(1+DiscRate)^(RotationAge-$A183))</f>
        <v/>
      </c>
      <c r="F183" s="59">
        <f>$B183*$E183</f>
        <v/>
      </c>
    </row>
    <row r="184">
      <c r="A184" s="56" t="n">
        <v>127</v>
      </c>
      <c r="B184" s="46" t="n">
        <v>0</v>
      </c>
      <c r="C184" s="57">
        <f>CR_a*(1-EXP(-CR_b*$A184))^CR_c</f>
        <v/>
      </c>
      <c r="D184" s="57">
        <f>$B184*$C184</f>
        <v/>
      </c>
      <c r="E184" s="57">
        <f>IF($A184&gt;=RotationAge,ExitPrice*$C184+LEVT_Exit,(ExitPrice*VolAtRotation+LEVT_Exit)/(1+DiscRate)^(RotationAge-$A184))</f>
        <v/>
      </c>
      <c r="F184" s="59">
        <f>$B184*$E184</f>
        <v/>
      </c>
    </row>
    <row r="185">
      <c r="A185" s="56" t="n">
        <v>128</v>
      </c>
      <c r="B185" s="46" t="n">
        <v>0</v>
      </c>
      <c r="C185" s="57">
        <f>CR_a*(1-EXP(-CR_b*$A185))^CR_c</f>
        <v/>
      </c>
      <c r="D185" s="57">
        <f>$B185*$C185</f>
        <v/>
      </c>
      <c r="E185" s="57">
        <f>IF($A185&gt;=RotationAge,ExitPrice*$C185+LEVT_Exit,(ExitPrice*VolAtRotation+LEVT_Exit)/(1+DiscRate)^(RotationAge-$A185))</f>
        <v/>
      </c>
      <c r="F185" s="59">
        <f>$B185*$E185</f>
        <v/>
      </c>
    </row>
    <row r="186">
      <c r="A186" s="56" t="n">
        <v>129</v>
      </c>
      <c r="B186" s="46" t="n">
        <v>0</v>
      </c>
      <c r="C186" s="57">
        <f>CR_a*(1-EXP(-CR_b*$A186))^CR_c</f>
        <v/>
      </c>
      <c r="D186" s="57">
        <f>$B186*$C186</f>
        <v/>
      </c>
      <c r="E186" s="57">
        <f>IF($A186&gt;=RotationAge,ExitPrice*$C186+LEVT_Exit,(ExitPrice*VolAtRotation+LEVT_Exit)/(1+DiscRate)^(RotationAge-$A186))</f>
        <v/>
      </c>
      <c r="F186" s="59">
        <f>$B186*$E186</f>
        <v/>
      </c>
    </row>
    <row r="187">
      <c r="A187" s="56" t="n">
        <v>130</v>
      </c>
      <c r="B187" s="46" t="n">
        <v>0</v>
      </c>
      <c r="C187" s="57">
        <f>CR_a*(1-EXP(-CR_b*$A187))^CR_c</f>
        <v/>
      </c>
      <c r="D187" s="57">
        <f>$B187*$C187</f>
        <v/>
      </c>
      <c r="E187" s="57">
        <f>IF($A187&gt;=RotationAge,ExitPrice*$C187+LEVT_Exit,(ExitPrice*VolAtRotation+LEVT_Exit)/(1+DiscRate)^(RotationAge-$A187))</f>
        <v/>
      </c>
      <c r="F187" s="59">
        <f>$B187*$E187</f>
        <v/>
      </c>
    </row>
    <row r="188">
      <c r="A188" s="56" t="n">
        <v>131</v>
      </c>
      <c r="B188" s="46" t="n">
        <v>0</v>
      </c>
      <c r="C188" s="57">
        <f>CR_a*(1-EXP(-CR_b*$A188))^CR_c</f>
        <v/>
      </c>
      <c r="D188" s="57">
        <f>$B188*$C188</f>
        <v/>
      </c>
      <c r="E188" s="57">
        <f>IF($A188&gt;=RotationAge,ExitPrice*$C188+LEVT_Exit,(ExitPrice*VolAtRotation+LEVT_Exit)/(1+DiscRate)^(RotationAge-$A188))</f>
        <v/>
      </c>
      <c r="F188" s="59">
        <f>$B188*$E188</f>
        <v/>
      </c>
    </row>
    <row r="189">
      <c r="A189" s="56" t="n">
        <v>132</v>
      </c>
      <c r="B189" s="46" t="n">
        <v>0</v>
      </c>
      <c r="C189" s="57">
        <f>CR_a*(1-EXP(-CR_b*$A189))^CR_c</f>
        <v/>
      </c>
      <c r="D189" s="57">
        <f>$B189*$C189</f>
        <v/>
      </c>
      <c r="E189" s="57">
        <f>IF($A189&gt;=RotationAge,ExitPrice*$C189+LEVT_Exit,(ExitPrice*VolAtRotation+LEVT_Exit)/(1+DiscRate)^(RotationAge-$A189))</f>
        <v/>
      </c>
      <c r="F189" s="59">
        <f>$B189*$E189</f>
        <v/>
      </c>
    </row>
    <row r="190">
      <c r="A190" s="56" t="n">
        <v>133</v>
      </c>
      <c r="B190" s="46" t="n">
        <v>0</v>
      </c>
      <c r="C190" s="57">
        <f>CR_a*(1-EXP(-CR_b*$A190))^CR_c</f>
        <v/>
      </c>
      <c r="D190" s="57">
        <f>$B190*$C190</f>
        <v/>
      </c>
      <c r="E190" s="57">
        <f>IF($A190&gt;=RotationAge,ExitPrice*$C190+LEVT_Exit,(ExitPrice*VolAtRotation+LEVT_Exit)/(1+DiscRate)^(RotationAge-$A190))</f>
        <v/>
      </c>
      <c r="F190" s="59">
        <f>$B190*$E190</f>
        <v/>
      </c>
    </row>
    <row r="191">
      <c r="A191" s="56" t="n">
        <v>134</v>
      </c>
      <c r="B191" s="46" t="n">
        <v>0</v>
      </c>
      <c r="C191" s="57">
        <f>CR_a*(1-EXP(-CR_b*$A191))^CR_c</f>
        <v/>
      </c>
      <c r="D191" s="57">
        <f>$B191*$C191</f>
        <v/>
      </c>
      <c r="E191" s="57">
        <f>IF($A191&gt;=RotationAge,ExitPrice*$C191+LEVT_Exit,(ExitPrice*VolAtRotation+LEVT_Exit)/(1+DiscRate)^(RotationAge-$A191))</f>
        <v/>
      </c>
      <c r="F191" s="59">
        <f>$B191*$E191</f>
        <v/>
      </c>
    </row>
    <row r="192">
      <c r="A192" s="56" t="n">
        <v>135</v>
      </c>
      <c r="B192" s="46" t="n">
        <v>0</v>
      </c>
      <c r="C192" s="57">
        <f>CR_a*(1-EXP(-CR_b*$A192))^CR_c</f>
        <v/>
      </c>
      <c r="D192" s="57">
        <f>$B192*$C192</f>
        <v/>
      </c>
      <c r="E192" s="57">
        <f>IF($A192&gt;=RotationAge,ExitPrice*$C192+LEVT_Exit,(ExitPrice*VolAtRotation+LEVT_Exit)/(1+DiscRate)^(RotationAge-$A192))</f>
        <v/>
      </c>
      <c r="F192" s="59">
        <f>$B192*$E192</f>
        <v/>
      </c>
    </row>
    <row r="193">
      <c r="A193" s="56" t="n">
        <v>136</v>
      </c>
      <c r="B193" s="46" t="n">
        <v>0</v>
      </c>
      <c r="C193" s="57">
        <f>CR_a*(1-EXP(-CR_b*$A193))^CR_c</f>
        <v/>
      </c>
      <c r="D193" s="57">
        <f>$B193*$C193</f>
        <v/>
      </c>
      <c r="E193" s="57">
        <f>IF($A193&gt;=RotationAge,ExitPrice*$C193+LEVT_Exit,(ExitPrice*VolAtRotation+LEVT_Exit)/(1+DiscRate)^(RotationAge-$A193))</f>
        <v/>
      </c>
      <c r="F193" s="59">
        <f>$B193*$E193</f>
        <v/>
      </c>
    </row>
    <row r="194">
      <c r="A194" s="56" t="n">
        <v>137</v>
      </c>
      <c r="B194" s="46" t="n">
        <v>0</v>
      </c>
      <c r="C194" s="57">
        <f>CR_a*(1-EXP(-CR_b*$A194))^CR_c</f>
        <v/>
      </c>
      <c r="D194" s="57">
        <f>$B194*$C194</f>
        <v/>
      </c>
      <c r="E194" s="57">
        <f>IF($A194&gt;=RotationAge,ExitPrice*$C194+LEVT_Exit,(ExitPrice*VolAtRotation+LEVT_Exit)/(1+DiscRate)^(RotationAge-$A194))</f>
        <v/>
      </c>
      <c r="F194" s="59">
        <f>$B194*$E194</f>
        <v/>
      </c>
    </row>
    <row r="195">
      <c r="A195" s="56" t="n">
        <v>138</v>
      </c>
      <c r="B195" s="46" t="n">
        <v>0</v>
      </c>
      <c r="C195" s="57">
        <f>CR_a*(1-EXP(-CR_b*$A195))^CR_c</f>
        <v/>
      </c>
      <c r="D195" s="57">
        <f>$B195*$C195</f>
        <v/>
      </c>
      <c r="E195" s="57">
        <f>IF($A195&gt;=RotationAge,ExitPrice*$C195+LEVT_Exit,(ExitPrice*VolAtRotation+LEVT_Exit)/(1+DiscRate)^(RotationAge-$A195))</f>
        <v/>
      </c>
      <c r="F195" s="59">
        <f>$B195*$E195</f>
        <v/>
      </c>
    </row>
    <row r="196">
      <c r="A196" s="56" t="n">
        <v>139</v>
      </c>
      <c r="B196" s="46" t="n">
        <v>0</v>
      </c>
      <c r="C196" s="57">
        <f>CR_a*(1-EXP(-CR_b*$A196))^CR_c</f>
        <v/>
      </c>
      <c r="D196" s="57">
        <f>$B196*$C196</f>
        <v/>
      </c>
      <c r="E196" s="57">
        <f>IF($A196&gt;=RotationAge,ExitPrice*$C196+LEVT_Exit,(ExitPrice*VolAtRotation+LEVT_Exit)/(1+DiscRate)^(RotationAge-$A196))</f>
        <v/>
      </c>
      <c r="F196" s="59">
        <f>$B196*$E196</f>
        <v/>
      </c>
    </row>
    <row r="197">
      <c r="A197" s="56" t="n">
        <v>140</v>
      </c>
      <c r="B197" s="46" t="n">
        <v>0</v>
      </c>
      <c r="C197" s="57">
        <f>CR_a*(1-EXP(-CR_b*$A197))^CR_c</f>
        <v/>
      </c>
      <c r="D197" s="57">
        <f>$B197*$C197</f>
        <v/>
      </c>
      <c r="E197" s="57">
        <f>IF($A197&gt;=RotationAge,ExitPrice*$C197+LEVT_Exit,(ExitPrice*VolAtRotation+LEVT_Exit)/(1+DiscRate)^(RotationAge-$A197))</f>
        <v/>
      </c>
      <c r="F197" s="59">
        <f>$B197*$E197</f>
        <v/>
      </c>
    </row>
    <row r="198">
      <c r="A198" s="56" t="n">
        <v>141</v>
      </c>
      <c r="B198" s="46" t="n">
        <v>0</v>
      </c>
      <c r="C198" s="57">
        <f>CR_a*(1-EXP(-CR_b*$A198))^CR_c</f>
        <v/>
      </c>
      <c r="D198" s="57">
        <f>$B198*$C198</f>
        <v/>
      </c>
      <c r="E198" s="57">
        <f>IF($A198&gt;=RotationAge,ExitPrice*$C198+LEVT_Exit,(ExitPrice*VolAtRotation+LEVT_Exit)/(1+DiscRate)^(RotationAge-$A198))</f>
        <v/>
      </c>
      <c r="F198" s="59">
        <f>$B198*$E198</f>
        <v/>
      </c>
    </row>
    <row r="199">
      <c r="A199" s="56" t="n">
        <v>142</v>
      </c>
      <c r="B199" s="46" t="n">
        <v>0</v>
      </c>
      <c r="C199" s="57">
        <f>CR_a*(1-EXP(-CR_b*$A199))^CR_c</f>
        <v/>
      </c>
      <c r="D199" s="57">
        <f>$B199*$C199</f>
        <v/>
      </c>
      <c r="E199" s="57">
        <f>IF($A199&gt;=RotationAge,ExitPrice*$C199+LEVT_Exit,(ExitPrice*VolAtRotation+LEVT_Exit)/(1+DiscRate)^(RotationAge-$A199))</f>
        <v/>
      </c>
      <c r="F199" s="59">
        <f>$B199*$E199</f>
        <v/>
      </c>
    </row>
    <row r="200">
      <c r="A200" s="56" t="n">
        <v>143</v>
      </c>
      <c r="B200" s="46" t="n">
        <v>0</v>
      </c>
      <c r="C200" s="57">
        <f>CR_a*(1-EXP(-CR_b*$A200))^CR_c</f>
        <v/>
      </c>
      <c r="D200" s="57">
        <f>$B200*$C200</f>
        <v/>
      </c>
      <c r="E200" s="57">
        <f>IF($A200&gt;=RotationAge,ExitPrice*$C200+LEVT_Exit,(ExitPrice*VolAtRotation+LEVT_Exit)/(1+DiscRate)^(RotationAge-$A200))</f>
        <v/>
      </c>
      <c r="F200" s="59">
        <f>$B200*$E200</f>
        <v/>
      </c>
    </row>
    <row r="201">
      <c r="A201" s="56" t="n">
        <v>144</v>
      </c>
      <c r="B201" s="46" t="n">
        <v>0</v>
      </c>
      <c r="C201" s="57">
        <f>CR_a*(1-EXP(-CR_b*$A201))^CR_c</f>
        <v/>
      </c>
      <c r="D201" s="57">
        <f>$B201*$C201</f>
        <v/>
      </c>
      <c r="E201" s="57">
        <f>IF($A201&gt;=RotationAge,ExitPrice*$C201+LEVT_Exit,(ExitPrice*VolAtRotation+LEVT_Exit)/(1+DiscRate)^(RotationAge-$A201))</f>
        <v/>
      </c>
      <c r="F201" s="59">
        <f>$B201*$E201</f>
        <v/>
      </c>
    </row>
    <row r="202">
      <c r="A202" s="56" t="n">
        <v>145</v>
      </c>
      <c r="B202" s="46" t="n">
        <v>0</v>
      </c>
      <c r="C202" s="57">
        <f>CR_a*(1-EXP(-CR_b*$A202))^CR_c</f>
        <v/>
      </c>
      <c r="D202" s="57">
        <f>$B202*$C202</f>
        <v/>
      </c>
      <c r="E202" s="57">
        <f>IF($A202&gt;=RotationAge,ExitPrice*$C202+LEVT_Exit,(ExitPrice*VolAtRotation+LEVT_Exit)/(1+DiscRate)^(RotationAge-$A202))</f>
        <v/>
      </c>
      <c r="F202" s="59">
        <f>$B202*$E202</f>
        <v/>
      </c>
    </row>
    <row r="203">
      <c r="A203" s="56" t="n">
        <v>146</v>
      </c>
      <c r="B203" s="46" t="n">
        <v>0</v>
      </c>
      <c r="C203" s="57">
        <f>CR_a*(1-EXP(-CR_b*$A203))^CR_c</f>
        <v/>
      </c>
      <c r="D203" s="57">
        <f>$B203*$C203</f>
        <v/>
      </c>
      <c r="E203" s="57">
        <f>IF($A203&gt;=RotationAge,ExitPrice*$C203+LEVT_Exit,(ExitPrice*VolAtRotation+LEVT_Exit)/(1+DiscRate)^(RotationAge-$A203))</f>
        <v/>
      </c>
      <c r="F203" s="59">
        <f>$B203*$E203</f>
        <v/>
      </c>
    </row>
    <row r="204">
      <c r="A204" s="56" t="n">
        <v>147</v>
      </c>
      <c r="B204" s="46" t="n">
        <v>0</v>
      </c>
      <c r="C204" s="57">
        <f>CR_a*(1-EXP(-CR_b*$A204))^CR_c</f>
        <v/>
      </c>
      <c r="D204" s="57">
        <f>$B204*$C204</f>
        <v/>
      </c>
      <c r="E204" s="57">
        <f>IF($A204&gt;=RotationAge,ExitPrice*$C204+LEVT_Exit,(ExitPrice*VolAtRotation+LEVT_Exit)/(1+DiscRate)^(RotationAge-$A204))</f>
        <v/>
      </c>
      <c r="F204" s="59">
        <f>$B204*$E204</f>
        <v/>
      </c>
    </row>
    <row r="205">
      <c r="A205" s="56" t="n">
        <v>148</v>
      </c>
      <c r="B205" s="46" t="n">
        <v>0</v>
      </c>
      <c r="C205" s="57">
        <f>CR_a*(1-EXP(-CR_b*$A205))^CR_c</f>
        <v/>
      </c>
      <c r="D205" s="57">
        <f>$B205*$C205</f>
        <v/>
      </c>
      <c r="E205" s="57">
        <f>IF($A205&gt;=RotationAge,ExitPrice*$C205+LEVT_Exit,(ExitPrice*VolAtRotation+LEVT_Exit)/(1+DiscRate)^(RotationAge-$A205))</f>
        <v/>
      </c>
      <c r="F205" s="59">
        <f>$B205*$E205</f>
        <v/>
      </c>
    </row>
    <row r="206">
      <c r="A206" s="56" t="n">
        <v>149</v>
      </c>
      <c r="B206" s="46" t="n">
        <v>0</v>
      </c>
      <c r="C206" s="57">
        <f>CR_a*(1-EXP(-CR_b*$A206))^CR_c</f>
        <v/>
      </c>
      <c r="D206" s="57">
        <f>$B206*$C206</f>
        <v/>
      </c>
      <c r="E206" s="57">
        <f>IF($A206&gt;=RotationAge,ExitPrice*$C206+LEVT_Exit,(ExitPrice*VolAtRotation+LEVT_Exit)/(1+DiscRate)^(RotationAge-$A206))</f>
        <v/>
      </c>
      <c r="F206" s="59">
        <f>$B206*$E206</f>
        <v/>
      </c>
    </row>
    <row r="207">
      <c r="A207" s="56" t="n">
        <v>150</v>
      </c>
      <c r="B207" s="46" t="n">
        <v>0</v>
      </c>
      <c r="C207" s="57">
        <f>CR_a*(1-EXP(-CR_b*$A207))^CR_c</f>
        <v/>
      </c>
      <c r="D207" s="57">
        <f>$B207*$C207</f>
        <v/>
      </c>
      <c r="E207" s="57">
        <f>IF($A207&gt;=RotationAge,ExitPrice*$C207+LEVT_Exit,(ExitPrice*VolAtRotation+LEVT_Exit)/(1+DiscRate)^(RotationAge-$A207))</f>
        <v/>
      </c>
      <c r="F207" s="59">
        <f>$B207*$E207</f>
        <v/>
      </c>
    </row>
    <row r="208">
      <c r="A208" s="60" t="inlineStr">
        <is>
          <t>Total at exit</t>
        </is>
      </c>
      <c r="B208" s="61">
        <f>SUM(B57:B207)</f>
        <v/>
      </c>
      <c r="D208" s="62">
        <f>SUM(D57:D207)</f>
        <v/>
      </c>
      <c r="F208" s="64">
        <f>SUM(F57:F207)</f>
        <v/>
      </c>
      <c r="G208" s="6" t="inlineStr">
        <is>
          <t>← gross exit value before the perpetual management charge</t>
        </is>
      </c>
    </row>
  </sheetData>
  <mergeCells count="3">
    <mergeCell ref="A3:L3"/>
    <mergeCell ref="A2:L2"/>
    <mergeCell ref="A1:L1"/>
  </mergeCells>
  <printOptions horizontalCentered="1"/>
  <pageMargins left="0.75" right="0.75" top="1" bottom="1" header="0.5" footer="0.5"/>
  <pageSetup orientation="landscape" fitToHeight="0" fitToWidth="1"/>
  <headerFooter>
    <oddHeader/>
    <oddFooter>&amp;L&amp;8 HYPOTHETICAL TRACT, FOR PORTFOLIO PURPOSES ONLY. NOT INVESTMENT ADVICE.&amp;R&amp;8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N55"/>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13" customWidth="1" min="3" max="3"/>
    <col width="14" customWidth="1" min="4" max="4"/>
    <col width="16" customWidth="1" min="5" max="5"/>
    <col width="14" customWidth="1" min="6" max="6"/>
    <col width="14" customWidth="1" min="7" max="7"/>
    <col width="14" customWidth="1" min="8" max="8"/>
    <col width="16" customWidth="1" min="9" max="9"/>
    <col width="16" customWidth="1" min="10" max="10"/>
    <col width="16" customWidth="1" min="11" max="11"/>
    <col width="13" customWidth="1" min="12" max="12"/>
    <col width="16" customWidth="1" min="13" max="13"/>
    <col width="16" customWidth="1" min="14" max="14"/>
  </cols>
  <sheetData>
    <row r="1" ht="27" customHeight="1">
      <c r="A1" s="26" t="inlineStr">
        <is>
          <t>Acquisition cash flows</t>
        </is>
      </c>
    </row>
    <row r="2">
      <c r="A2" s="27" t="inlineStr">
        <is>
          <t>Real Canadian dollars. Every cell is a formula: NPV and IRR use Excel's own functions over the net cash flow column.</t>
        </is>
      </c>
    </row>
    <row r="3">
      <c r="A3" s="28" t="inlineStr">
        <is>
          <t>HYPOTHETICAL TRACT, FOR PORTFOLIO PURPOSES ONLY. NOT INVESTMENT ADVICE.</t>
        </is>
      </c>
    </row>
    <row r="5">
      <c r="A5" s="48" t="inlineStr">
        <is>
          <t>Exit pricing inputs</t>
        </is>
      </c>
    </row>
    <row r="6">
      <c r="A6" s="65" t="inlineStr">
        <is>
          <t>Stumpage price at exit</t>
        </is>
      </c>
      <c r="B6" s="66">
        <f>Stumpage*(1+PriceGrowth)^HoldYears</f>
        <v/>
      </c>
      <c r="C6" s="6" t="inlineStr">
        <is>
          <t>Real price escalated over the hold</t>
        </is>
      </c>
    </row>
    <row r="7">
      <c r="A7" s="65" t="inlineStr">
        <is>
          <t>Volume per ha at the rotation age</t>
        </is>
      </c>
      <c r="B7" s="67">
        <f>CR_a*(1-EXP(-CR_b*RotationAge))^CR_c</f>
        <v/>
      </c>
      <c r="C7" s="6" t="inlineStr">
        <is>
          <t>Chapman-Richards evaluated at the Faustmann age</t>
        </is>
      </c>
    </row>
    <row r="8">
      <c r="A8" s="65" t="inlineStr">
        <is>
          <t>Land expectation value at exit prices, before management</t>
        </is>
      </c>
      <c r="B8" s="66">
        <f>(ExitPrice*VolAtRotation-RegenCost*(1+DiscRate)^RotationAge)/((1+DiscRate)^RotationAge-1)</f>
        <v/>
      </c>
      <c r="C8" s="6" t="inlineStr">
        <is>
          <t>LEV recomputed at the year-30 price</t>
        </is>
      </c>
    </row>
    <row r="9">
      <c r="A9" s="65" t="inlineStr">
        <is>
          <t>Gross exit value of land and timber</t>
        </is>
      </c>
      <c r="B9" s="68">
        <f>ExitInventoryValue-MgmtCost/DiscRate*Area_ha</f>
        <v/>
      </c>
      <c r="C9" s="6" t="inlineStr">
        <is>
          <t>Summed from the year-30 age table on Harvest_Schedule</t>
        </is>
      </c>
    </row>
    <row r="10">
      <c r="A10" s="65" t="inlineStr">
        <is>
          <t>Net exit proceeds after disposition costs</t>
        </is>
      </c>
      <c r="B10" s="69">
        <f>B9*(1-DispCostPct)</f>
        <v/>
      </c>
    </row>
    <row r="12" ht="30" customHeight="1">
      <c r="A12" s="7" t="inlineStr">
        <is>
          <t>Year</t>
        </is>
      </c>
      <c r="B12" s="7" t="inlineStr">
        <is>
          <t>Harvest volume (m³)</t>
        </is>
      </c>
      <c r="C12" s="7" t="inlineStr">
        <is>
          <t>Area cut (ha)</t>
        </is>
      </c>
      <c r="D12" s="7" t="inlineStr">
        <is>
          <t>Stumpage ($/m³)</t>
        </is>
      </c>
      <c r="E12" s="7" t="inlineStr">
        <is>
          <t>Harvest revenue</t>
        </is>
      </c>
      <c r="F12" s="7" t="inlineStr">
        <is>
          <t>Carbon revenue</t>
        </is>
      </c>
      <c r="G12" s="7" t="inlineStr">
        <is>
          <t>Regeneration</t>
        </is>
      </c>
      <c r="H12" s="7" t="inlineStr">
        <is>
          <t>Management</t>
        </is>
      </c>
      <c r="I12" s="7" t="inlineStr">
        <is>
          <t>Acquisition</t>
        </is>
      </c>
      <c r="J12" s="7" t="inlineStr">
        <is>
          <t>Terminal value</t>
        </is>
      </c>
      <c r="K12" s="7" t="inlineStr">
        <is>
          <t>Net cash flow</t>
        </is>
      </c>
      <c r="L12" s="7" t="inlineStr">
        <is>
          <t>Discount factor</t>
        </is>
      </c>
      <c r="M12" s="7" t="inlineStr">
        <is>
          <t>PV of cash flow</t>
        </is>
      </c>
      <c r="N12" s="7" t="inlineStr">
        <is>
          <t>Cumulative PV</t>
        </is>
      </c>
    </row>
    <row r="13">
      <c r="A13" s="56" t="n">
        <v>0</v>
      </c>
      <c r="B13" s="59" t="n">
        <v>0</v>
      </c>
      <c r="C13" s="57" t="n">
        <v>0</v>
      </c>
      <c r="D13" s="70">
        <f>Stumpage*(1+PriceGrowth)^$A13</f>
        <v/>
      </c>
      <c r="E13" s="51">
        <f>$B13*$D13</f>
        <v/>
      </c>
      <c r="F13" s="51">
        <f>IF(AND(CarbonOn,$A13&gt;0),Area_ha*CarbonArea*CarbonRate*CarbonPrice,0)</f>
        <v/>
      </c>
      <c r="G13" s="51">
        <f>-$C13*RegenCost</f>
        <v/>
      </c>
      <c r="H13" s="51">
        <f>IF($A13&gt;0,-Area_ha*MgmtCost,0)</f>
        <v/>
      </c>
      <c r="I13" s="51">
        <f>IF($A13=0,-PurchasePrice*(1+AcqCostPct),0)</f>
        <v/>
      </c>
      <c r="J13" s="51">
        <f>IF($A13=HoldYears,TerminalValue,0)</f>
        <v/>
      </c>
      <c r="K13" s="19">
        <f>SUM($E13:$J13)</f>
        <v/>
      </c>
      <c r="L13" s="71">
        <f>1/(1+DiscRate)^$A13</f>
        <v/>
      </c>
      <c r="M13" s="51">
        <f>$K13*$L13</f>
        <v/>
      </c>
      <c r="N13" s="51">
        <f>SUM($M$13:$M13)</f>
        <v/>
      </c>
    </row>
    <row r="14">
      <c r="A14" s="56" t="n">
        <v>1</v>
      </c>
      <c r="B14" s="72">
        <f>Harvest_Schedule!$B$22</f>
        <v/>
      </c>
      <c r="C14" s="58">
        <f>Harvest_Schedule!$C$22</f>
        <v/>
      </c>
      <c r="D14" s="70">
        <f>Stumpage*(1+PriceGrowth)^$A14</f>
        <v/>
      </c>
      <c r="E14" s="51">
        <f>$B14*$D14</f>
        <v/>
      </c>
      <c r="F14" s="51">
        <f>IF(AND(CarbonOn,$A14&gt;0),Area_ha*CarbonArea*CarbonRate*CarbonPrice,0)</f>
        <v/>
      </c>
      <c r="G14" s="51">
        <f>-$C14*RegenCost</f>
        <v/>
      </c>
      <c r="H14" s="51">
        <f>IF($A14&gt;0,-Area_ha*MgmtCost,0)</f>
        <v/>
      </c>
      <c r="I14" s="51">
        <f>IF($A14=0,-PurchasePrice*(1+AcqCostPct),0)</f>
        <v/>
      </c>
      <c r="J14" s="51">
        <f>IF($A14=HoldYears,TerminalValue,0)</f>
        <v/>
      </c>
      <c r="K14" s="19">
        <f>SUM($E14:$J14)</f>
        <v/>
      </c>
      <c r="L14" s="71">
        <f>1/(1+DiscRate)^$A14</f>
        <v/>
      </c>
      <c r="M14" s="51">
        <f>$K14*$L14</f>
        <v/>
      </c>
      <c r="N14" s="51">
        <f>SUM($M$13:$M14)</f>
        <v/>
      </c>
    </row>
    <row r="15">
      <c r="A15" s="56" t="n">
        <v>2</v>
      </c>
      <c r="B15" s="72">
        <f>Harvest_Schedule!$B$23</f>
        <v/>
      </c>
      <c r="C15" s="58">
        <f>Harvest_Schedule!$C$23</f>
        <v/>
      </c>
      <c r="D15" s="70">
        <f>Stumpage*(1+PriceGrowth)^$A15</f>
        <v/>
      </c>
      <c r="E15" s="51">
        <f>$B15*$D15</f>
        <v/>
      </c>
      <c r="F15" s="51">
        <f>IF(AND(CarbonOn,$A15&gt;0),Area_ha*CarbonArea*CarbonRate*CarbonPrice,0)</f>
        <v/>
      </c>
      <c r="G15" s="51">
        <f>-$C15*RegenCost</f>
        <v/>
      </c>
      <c r="H15" s="51">
        <f>IF($A15&gt;0,-Area_ha*MgmtCost,0)</f>
        <v/>
      </c>
      <c r="I15" s="51">
        <f>IF($A15=0,-PurchasePrice*(1+AcqCostPct),0)</f>
        <v/>
      </c>
      <c r="J15" s="51">
        <f>IF($A15=HoldYears,TerminalValue,0)</f>
        <v/>
      </c>
      <c r="K15" s="19">
        <f>SUM($E15:$J15)</f>
        <v/>
      </c>
      <c r="L15" s="71">
        <f>1/(1+DiscRate)^$A15</f>
        <v/>
      </c>
      <c r="M15" s="51">
        <f>$K15*$L15</f>
        <v/>
      </c>
      <c r="N15" s="51">
        <f>SUM($M$13:$M15)</f>
        <v/>
      </c>
    </row>
    <row r="16">
      <c r="A16" s="56" t="n">
        <v>3</v>
      </c>
      <c r="B16" s="72">
        <f>Harvest_Schedule!$B$24</f>
        <v/>
      </c>
      <c r="C16" s="58">
        <f>Harvest_Schedule!$C$24</f>
        <v/>
      </c>
      <c r="D16" s="70">
        <f>Stumpage*(1+PriceGrowth)^$A16</f>
        <v/>
      </c>
      <c r="E16" s="51">
        <f>$B16*$D16</f>
        <v/>
      </c>
      <c r="F16" s="51">
        <f>IF(AND(CarbonOn,$A16&gt;0),Area_ha*CarbonArea*CarbonRate*CarbonPrice,0)</f>
        <v/>
      </c>
      <c r="G16" s="51">
        <f>-$C16*RegenCost</f>
        <v/>
      </c>
      <c r="H16" s="51">
        <f>IF($A16&gt;0,-Area_ha*MgmtCost,0)</f>
        <v/>
      </c>
      <c r="I16" s="51">
        <f>IF($A16=0,-PurchasePrice*(1+AcqCostPct),0)</f>
        <v/>
      </c>
      <c r="J16" s="51">
        <f>IF($A16=HoldYears,TerminalValue,0)</f>
        <v/>
      </c>
      <c r="K16" s="19">
        <f>SUM($E16:$J16)</f>
        <v/>
      </c>
      <c r="L16" s="71">
        <f>1/(1+DiscRate)^$A16</f>
        <v/>
      </c>
      <c r="M16" s="51">
        <f>$K16*$L16</f>
        <v/>
      </c>
      <c r="N16" s="51">
        <f>SUM($M$13:$M16)</f>
        <v/>
      </c>
    </row>
    <row r="17">
      <c r="A17" s="56" t="n">
        <v>4</v>
      </c>
      <c r="B17" s="72">
        <f>Harvest_Schedule!$B$25</f>
        <v/>
      </c>
      <c r="C17" s="58">
        <f>Harvest_Schedule!$C$25</f>
        <v/>
      </c>
      <c r="D17" s="70">
        <f>Stumpage*(1+PriceGrowth)^$A17</f>
        <v/>
      </c>
      <c r="E17" s="51">
        <f>$B17*$D17</f>
        <v/>
      </c>
      <c r="F17" s="51">
        <f>IF(AND(CarbonOn,$A17&gt;0),Area_ha*CarbonArea*CarbonRate*CarbonPrice,0)</f>
        <v/>
      </c>
      <c r="G17" s="51">
        <f>-$C17*RegenCost</f>
        <v/>
      </c>
      <c r="H17" s="51">
        <f>IF($A17&gt;0,-Area_ha*MgmtCost,0)</f>
        <v/>
      </c>
      <c r="I17" s="51">
        <f>IF($A17=0,-PurchasePrice*(1+AcqCostPct),0)</f>
        <v/>
      </c>
      <c r="J17" s="51">
        <f>IF($A17=HoldYears,TerminalValue,0)</f>
        <v/>
      </c>
      <c r="K17" s="19">
        <f>SUM($E17:$J17)</f>
        <v/>
      </c>
      <c r="L17" s="71">
        <f>1/(1+DiscRate)^$A17</f>
        <v/>
      </c>
      <c r="M17" s="51">
        <f>$K17*$L17</f>
        <v/>
      </c>
      <c r="N17" s="51">
        <f>SUM($M$13:$M17)</f>
        <v/>
      </c>
    </row>
    <row r="18">
      <c r="A18" s="56" t="n">
        <v>5</v>
      </c>
      <c r="B18" s="72">
        <f>Harvest_Schedule!$B$26</f>
        <v/>
      </c>
      <c r="C18" s="58">
        <f>Harvest_Schedule!$C$26</f>
        <v/>
      </c>
      <c r="D18" s="70">
        <f>Stumpage*(1+PriceGrowth)^$A18</f>
        <v/>
      </c>
      <c r="E18" s="51">
        <f>$B18*$D18</f>
        <v/>
      </c>
      <c r="F18" s="51">
        <f>IF(AND(CarbonOn,$A18&gt;0),Area_ha*CarbonArea*CarbonRate*CarbonPrice,0)</f>
        <v/>
      </c>
      <c r="G18" s="51">
        <f>-$C18*RegenCost</f>
        <v/>
      </c>
      <c r="H18" s="51">
        <f>IF($A18&gt;0,-Area_ha*MgmtCost,0)</f>
        <v/>
      </c>
      <c r="I18" s="51">
        <f>IF($A18=0,-PurchasePrice*(1+AcqCostPct),0)</f>
        <v/>
      </c>
      <c r="J18" s="51">
        <f>IF($A18=HoldYears,TerminalValue,0)</f>
        <v/>
      </c>
      <c r="K18" s="19">
        <f>SUM($E18:$J18)</f>
        <v/>
      </c>
      <c r="L18" s="71">
        <f>1/(1+DiscRate)^$A18</f>
        <v/>
      </c>
      <c r="M18" s="51">
        <f>$K18*$L18</f>
        <v/>
      </c>
      <c r="N18" s="51">
        <f>SUM($M$13:$M18)</f>
        <v/>
      </c>
    </row>
    <row r="19">
      <c r="A19" s="56" t="n">
        <v>6</v>
      </c>
      <c r="B19" s="72">
        <f>Harvest_Schedule!$B$27</f>
        <v/>
      </c>
      <c r="C19" s="58">
        <f>Harvest_Schedule!$C$27</f>
        <v/>
      </c>
      <c r="D19" s="70">
        <f>Stumpage*(1+PriceGrowth)^$A19</f>
        <v/>
      </c>
      <c r="E19" s="51">
        <f>$B19*$D19</f>
        <v/>
      </c>
      <c r="F19" s="51">
        <f>IF(AND(CarbonOn,$A19&gt;0),Area_ha*CarbonArea*CarbonRate*CarbonPrice,0)</f>
        <v/>
      </c>
      <c r="G19" s="51">
        <f>-$C19*RegenCost</f>
        <v/>
      </c>
      <c r="H19" s="51">
        <f>IF($A19&gt;0,-Area_ha*MgmtCost,0)</f>
        <v/>
      </c>
      <c r="I19" s="51">
        <f>IF($A19=0,-PurchasePrice*(1+AcqCostPct),0)</f>
        <v/>
      </c>
      <c r="J19" s="51">
        <f>IF($A19=HoldYears,TerminalValue,0)</f>
        <v/>
      </c>
      <c r="K19" s="19">
        <f>SUM($E19:$J19)</f>
        <v/>
      </c>
      <c r="L19" s="71">
        <f>1/(1+DiscRate)^$A19</f>
        <v/>
      </c>
      <c r="M19" s="51">
        <f>$K19*$L19</f>
        <v/>
      </c>
      <c r="N19" s="51">
        <f>SUM($M$13:$M19)</f>
        <v/>
      </c>
    </row>
    <row r="20">
      <c r="A20" s="56" t="n">
        <v>7</v>
      </c>
      <c r="B20" s="72">
        <f>Harvest_Schedule!$B$28</f>
        <v/>
      </c>
      <c r="C20" s="58">
        <f>Harvest_Schedule!$C$28</f>
        <v/>
      </c>
      <c r="D20" s="70">
        <f>Stumpage*(1+PriceGrowth)^$A20</f>
        <v/>
      </c>
      <c r="E20" s="51">
        <f>$B20*$D20</f>
        <v/>
      </c>
      <c r="F20" s="51">
        <f>IF(AND(CarbonOn,$A20&gt;0),Area_ha*CarbonArea*CarbonRate*CarbonPrice,0)</f>
        <v/>
      </c>
      <c r="G20" s="51">
        <f>-$C20*RegenCost</f>
        <v/>
      </c>
      <c r="H20" s="51">
        <f>IF($A20&gt;0,-Area_ha*MgmtCost,0)</f>
        <v/>
      </c>
      <c r="I20" s="51">
        <f>IF($A20=0,-PurchasePrice*(1+AcqCostPct),0)</f>
        <v/>
      </c>
      <c r="J20" s="51">
        <f>IF($A20=HoldYears,TerminalValue,0)</f>
        <v/>
      </c>
      <c r="K20" s="19">
        <f>SUM($E20:$J20)</f>
        <v/>
      </c>
      <c r="L20" s="71">
        <f>1/(1+DiscRate)^$A20</f>
        <v/>
      </c>
      <c r="M20" s="51">
        <f>$K20*$L20</f>
        <v/>
      </c>
      <c r="N20" s="51">
        <f>SUM($M$13:$M20)</f>
        <v/>
      </c>
    </row>
    <row r="21">
      <c r="A21" s="56" t="n">
        <v>8</v>
      </c>
      <c r="B21" s="72">
        <f>Harvest_Schedule!$B$29</f>
        <v/>
      </c>
      <c r="C21" s="58">
        <f>Harvest_Schedule!$C$29</f>
        <v/>
      </c>
      <c r="D21" s="70">
        <f>Stumpage*(1+PriceGrowth)^$A21</f>
        <v/>
      </c>
      <c r="E21" s="51">
        <f>$B21*$D21</f>
        <v/>
      </c>
      <c r="F21" s="51">
        <f>IF(AND(CarbonOn,$A21&gt;0),Area_ha*CarbonArea*CarbonRate*CarbonPrice,0)</f>
        <v/>
      </c>
      <c r="G21" s="51">
        <f>-$C21*RegenCost</f>
        <v/>
      </c>
      <c r="H21" s="51">
        <f>IF($A21&gt;0,-Area_ha*MgmtCost,0)</f>
        <v/>
      </c>
      <c r="I21" s="51">
        <f>IF($A21=0,-PurchasePrice*(1+AcqCostPct),0)</f>
        <v/>
      </c>
      <c r="J21" s="51">
        <f>IF($A21=HoldYears,TerminalValue,0)</f>
        <v/>
      </c>
      <c r="K21" s="19">
        <f>SUM($E21:$J21)</f>
        <v/>
      </c>
      <c r="L21" s="71">
        <f>1/(1+DiscRate)^$A21</f>
        <v/>
      </c>
      <c r="M21" s="51">
        <f>$K21*$L21</f>
        <v/>
      </c>
      <c r="N21" s="51">
        <f>SUM($M$13:$M21)</f>
        <v/>
      </c>
    </row>
    <row r="22">
      <c r="A22" s="56" t="n">
        <v>9</v>
      </c>
      <c r="B22" s="72">
        <f>Harvest_Schedule!$B$30</f>
        <v/>
      </c>
      <c r="C22" s="58">
        <f>Harvest_Schedule!$C$30</f>
        <v/>
      </c>
      <c r="D22" s="70">
        <f>Stumpage*(1+PriceGrowth)^$A22</f>
        <v/>
      </c>
      <c r="E22" s="51">
        <f>$B22*$D22</f>
        <v/>
      </c>
      <c r="F22" s="51">
        <f>IF(AND(CarbonOn,$A22&gt;0),Area_ha*CarbonArea*CarbonRate*CarbonPrice,0)</f>
        <v/>
      </c>
      <c r="G22" s="51">
        <f>-$C22*RegenCost</f>
        <v/>
      </c>
      <c r="H22" s="51">
        <f>IF($A22&gt;0,-Area_ha*MgmtCost,0)</f>
        <v/>
      </c>
      <c r="I22" s="51">
        <f>IF($A22=0,-PurchasePrice*(1+AcqCostPct),0)</f>
        <v/>
      </c>
      <c r="J22" s="51">
        <f>IF($A22=HoldYears,TerminalValue,0)</f>
        <v/>
      </c>
      <c r="K22" s="19">
        <f>SUM($E22:$J22)</f>
        <v/>
      </c>
      <c r="L22" s="71">
        <f>1/(1+DiscRate)^$A22</f>
        <v/>
      </c>
      <c r="M22" s="51">
        <f>$K22*$L22</f>
        <v/>
      </c>
      <c r="N22" s="51">
        <f>SUM($M$13:$M22)</f>
        <v/>
      </c>
    </row>
    <row r="23">
      <c r="A23" s="56" t="n">
        <v>10</v>
      </c>
      <c r="B23" s="72">
        <f>Harvest_Schedule!$B$31</f>
        <v/>
      </c>
      <c r="C23" s="58">
        <f>Harvest_Schedule!$C$31</f>
        <v/>
      </c>
      <c r="D23" s="70">
        <f>Stumpage*(1+PriceGrowth)^$A23</f>
        <v/>
      </c>
      <c r="E23" s="51">
        <f>$B23*$D23</f>
        <v/>
      </c>
      <c r="F23" s="51">
        <f>IF(AND(CarbonOn,$A23&gt;0),Area_ha*CarbonArea*CarbonRate*CarbonPrice,0)</f>
        <v/>
      </c>
      <c r="G23" s="51">
        <f>-$C23*RegenCost</f>
        <v/>
      </c>
      <c r="H23" s="51">
        <f>IF($A23&gt;0,-Area_ha*MgmtCost,0)</f>
        <v/>
      </c>
      <c r="I23" s="51">
        <f>IF($A23=0,-PurchasePrice*(1+AcqCostPct),0)</f>
        <v/>
      </c>
      <c r="J23" s="51">
        <f>IF($A23=HoldYears,TerminalValue,0)</f>
        <v/>
      </c>
      <c r="K23" s="19">
        <f>SUM($E23:$J23)</f>
        <v/>
      </c>
      <c r="L23" s="71">
        <f>1/(1+DiscRate)^$A23</f>
        <v/>
      </c>
      <c r="M23" s="51">
        <f>$K23*$L23</f>
        <v/>
      </c>
      <c r="N23" s="51">
        <f>SUM($M$13:$M23)</f>
        <v/>
      </c>
    </row>
    <row r="24">
      <c r="A24" s="56" t="n">
        <v>11</v>
      </c>
      <c r="B24" s="72">
        <f>Harvest_Schedule!$B$32</f>
        <v/>
      </c>
      <c r="C24" s="58">
        <f>Harvest_Schedule!$C$32</f>
        <v/>
      </c>
      <c r="D24" s="70">
        <f>Stumpage*(1+PriceGrowth)^$A24</f>
        <v/>
      </c>
      <c r="E24" s="51">
        <f>$B24*$D24</f>
        <v/>
      </c>
      <c r="F24" s="51">
        <f>IF(AND(CarbonOn,$A24&gt;0),Area_ha*CarbonArea*CarbonRate*CarbonPrice,0)</f>
        <v/>
      </c>
      <c r="G24" s="51">
        <f>-$C24*RegenCost</f>
        <v/>
      </c>
      <c r="H24" s="51">
        <f>IF($A24&gt;0,-Area_ha*MgmtCost,0)</f>
        <v/>
      </c>
      <c r="I24" s="51">
        <f>IF($A24=0,-PurchasePrice*(1+AcqCostPct),0)</f>
        <v/>
      </c>
      <c r="J24" s="51">
        <f>IF($A24=HoldYears,TerminalValue,0)</f>
        <v/>
      </c>
      <c r="K24" s="19">
        <f>SUM($E24:$J24)</f>
        <v/>
      </c>
      <c r="L24" s="71">
        <f>1/(1+DiscRate)^$A24</f>
        <v/>
      </c>
      <c r="M24" s="51">
        <f>$K24*$L24</f>
        <v/>
      </c>
      <c r="N24" s="51">
        <f>SUM($M$13:$M24)</f>
        <v/>
      </c>
    </row>
    <row r="25">
      <c r="A25" s="56" t="n">
        <v>12</v>
      </c>
      <c r="B25" s="72">
        <f>Harvest_Schedule!$B$33</f>
        <v/>
      </c>
      <c r="C25" s="58">
        <f>Harvest_Schedule!$C$33</f>
        <v/>
      </c>
      <c r="D25" s="70">
        <f>Stumpage*(1+PriceGrowth)^$A25</f>
        <v/>
      </c>
      <c r="E25" s="51">
        <f>$B25*$D25</f>
        <v/>
      </c>
      <c r="F25" s="51">
        <f>IF(AND(CarbonOn,$A25&gt;0),Area_ha*CarbonArea*CarbonRate*CarbonPrice,0)</f>
        <v/>
      </c>
      <c r="G25" s="51">
        <f>-$C25*RegenCost</f>
        <v/>
      </c>
      <c r="H25" s="51">
        <f>IF($A25&gt;0,-Area_ha*MgmtCost,0)</f>
        <v/>
      </c>
      <c r="I25" s="51">
        <f>IF($A25=0,-PurchasePrice*(1+AcqCostPct),0)</f>
        <v/>
      </c>
      <c r="J25" s="51">
        <f>IF($A25=HoldYears,TerminalValue,0)</f>
        <v/>
      </c>
      <c r="K25" s="19">
        <f>SUM($E25:$J25)</f>
        <v/>
      </c>
      <c r="L25" s="71">
        <f>1/(1+DiscRate)^$A25</f>
        <v/>
      </c>
      <c r="M25" s="51">
        <f>$K25*$L25</f>
        <v/>
      </c>
      <c r="N25" s="51">
        <f>SUM($M$13:$M25)</f>
        <v/>
      </c>
    </row>
    <row r="26">
      <c r="A26" s="56" t="n">
        <v>13</v>
      </c>
      <c r="B26" s="72">
        <f>Harvest_Schedule!$B$34</f>
        <v/>
      </c>
      <c r="C26" s="58">
        <f>Harvest_Schedule!$C$34</f>
        <v/>
      </c>
      <c r="D26" s="70">
        <f>Stumpage*(1+PriceGrowth)^$A26</f>
        <v/>
      </c>
      <c r="E26" s="51">
        <f>$B26*$D26</f>
        <v/>
      </c>
      <c r="F26" s="51">
        <f>IF(AND(CarbonOn,$A26&gt;0),Area_ha*CarbonArea*CarbonRate*CarbonPrice,0)</f>
        <v/>
      </c>
      <c r="G26" s="51">
        <f>-$C26*RegenCost</f>
        <v/>
      </c>
      <c r="H26" s="51">
        <f>IF($A26&gt;0,-Area_ha*MgmtCost,0)</f>
        <v/>
      </c>
      <c r="I26" s="51">
        <f>IF($A26=0,-PurchasePrice*(1+AcqCostPct),0)</f>
        <v/>
      </c>
      <c r="J26" s="51">
        <f>IF($A26=HoldYears,TerminalValue,0)</f>
        <v/>
      </c>
      <c r="K26" s="19">
        <f>SUM($E26:$J26)</f>
        <v/>
      </c>
      <c r="L26" s="71">
        <f>1/(1+DiscRate)^$A26</f>
        <v/>
      </c>
      <c r="M26" s="51">
        <f>$K26*$L26</f>
        <v/>
      </c>
      <c r="N26" s="51">
        <f>SUM($M$13:$M26)</f>
        <v/>
      </c>
    </row>
    <row r="27">
      <c r="A27" s="56" t="n">
        <v>14</v>
      </c>
      <c r="B27" s="72">
        <f>Harvest_Schedule!$B$35</f>
        <v/>
      </c>
      <c r="C27" s="58">
        <f>Harvest_Schedule!$C$35</f>
        <v/>
      </c>
      <c r="D27" s="70">
        <f>Stumpage*(1+PriceGrowth)^$A27</f>
        <v/>
      </c>
      <c r="E27" s="51">
        <f>$B27*$D27</f>
        <v/>
      </c>
      <c r="F27" s="51">
        <f>IF(AND(CarbonOn,$A27&gt;0),Area_ha*CarbonArea*CarbonRate*CarbonPrice,0)</f>
        <v/>
      </c>
      <c r="G27" s="51">
        <f>-$C27*RegenCost</f>
        <v/>
      </c>
      <c r="H27" s="51">
        <f>IF($A27&gt;0,-Area_ha*MgmtCost,0)</f>
        <v/>
      </c>
      <c r="I27" s="51">
        <f>IF($A27=0,-PurchasePrice*(1+AcqCostPct),0)</f>
        <v/>
      </c>
      <c r="J27" s="51">
        <f>IF($A27=HoldYears,TerminalValue,0)</f>
        <v/>
      </c>
      <c r="K27" s="19">
        <f>SUM($E27:$J27)</f>
        <v/>
      </c>
      <c r="L27" s="71">
        <f>1/(1+DiscRate)^$A27</f>
        <v/>
      </c>
      <c r="M27" s="51">
        <f>$K27*$L27</f>
        <v/>
      </c>
      <c r="N27" s="51">
        <f>SUM($M$13:$M27)</f>
        <v/>
      </c>
    </row>
    <row r="28">
      <c r="A28" s="56" t="n">
        <v>15</v>
      </c>
      <c r="B28" s="72">
        <f>Harvest_Schedule!$B$36</f>
        <v/>
      </c>
      <c r="C28" s="58">
        <f>Harvest_Schedule!$C$36</f>
        <v/>
      </c>
      <c r="D28" s="70">
        <f>Stumpage*(1+PriceGrowth)^$A28</f>
        <v/>
      </c>
      <c r="E28" s="51">
        <f>$B28*$D28</f>
        <v/>
      </c>
      <c r="F28" s="51">
        <f>IF(AND(CarbonOn,$A28&gt;0),Area_ha*CarbonArea*CarbonRate*CarbonPrice,0)</f>
        <v/>
      </c>
      <c r="G28" s="51">
        <f>-$C28*RegenCost</f>
        <v/>
      </c>
      <c r="H28" s="51">
        <f>IF($A28&gt;0,-Area_ha*MgmtCost,0)</f>
        <v/>
      </c>
      <c r="I28" s="51">
        <f>IF($A28=0,-PurchasePrice*(1+AcqCostPct),0)</f>
        <v/>
      </c>
      <c r="J28" s="51">
        <f>IF($A28=HoldYears,TerminalValue,0)</f>
        <v/>
      </c>
      <c r="K28" s="19">
        <f>SUM($E28:$J28)</f>
        <v/>
      </c>
      <c r="L28" s="71">
        <f>1/(1+DiscRate)^$A28</f>
        <v/>
      </c>
      <c r="M28" s="51">
        <f>$K28*$L28</f>
        <v/>
      </c>
      <c r="N28" s="51">
        <f>SUM($M$13:$M28)</f>
        <v/>
      </c>
    </row>
    <row r="29">
      <c r="A29" s="56" t="n">
        <v>16</v>
      </c>
      <c r="B29" s="72">
        <f>Harvest_Schedule!$B$37</f>
        <v/>
      </c>
      <c r="C29" s="58">
        <f>Harvest_Schedule!$C$37</f>
        <v/>
      </c>
      <c r="D29" s="70">
        <f>Stumpage*(1+PriceGrowth)^$A29</f>
        <v/>
      </c>
      <c r="E29" s="51">
        <f>$B29*$D29</f>
        <v/>
      </c>
      <c r="F29" s="51">
        <f>IF(AND(CarbonOn,$A29&gt;0),Area_ha*CarbonArea*CarbonRate*CarbonPrice,0)</f>
        <v/>
      </c>
      <c r="G29" s="51">
        <f>-$C29*RegenCost</f>
        <v/>
      </c>
      <c r="H29" s="51">
        <f>IF($A29&gt;0,-Area_ha*MgmtCost,0)</f>
        <v/>
      </c>
      <c r="I29" s="51">
        <f>IF($A29=0,-PurchasePrice*(1+AcqCostPct),0)</f>
        <v/>
      </c>
      <c r="J29" s="51">
        <f>IF($A29=HoldYears,TerminalValue,0)</f>
        <v/>
      </c>
      <c r="K29" s="19">
        <f>SUM($E29:$J29)</f>
        <v/>
      </c>
      <c r="L29" s="71">
        <f>1/(1+DiscRate)^$A29</f>
        <v/>
      </c>
      <c r="M29" s="51">
        <f>$K29*$L29</f>
        <v/>
      </c>
      <c r="N29" s="51">
        <f>SUM($M$13:$M29)</f>
        <v/>
      </c>
    </row>
    <row r="30">
      <c r="A30" s="56" t="n">
        <v>17</v>
      </c>
      <c r="B30" s="72">
        <f>Harvest_Schedule!$B$38</f>
        <v/>
      </c>
      <c r="C30" s="58">
        <f>Harvest_Schedule!$C$38</f>
        <v/>
      </c>
      <c r="D30" s="70">
        <f>Stumpage*(1+PriceGrowth)^$A30</f>
        <v/>
      </c>
      <c r="E30" s="51">
        <f>$B30*$D30</f>
        <v/>
      </c>
      <c r="F30" s="51">
        <f>IF(AND(CarbonOn,$A30&gt;0),Area_ha*CarbonArea*CarbonRate*CarbonPrice,0)</f>
        <v/>
      </c>
      <c r="G30" s="51">
        <f>-$C30*RegenCost</f>
        <v/>
      </c>
      <c r="H30" s="51">
        <f>IF($A30&gt;0,-Area_ha*MgmtCost,0)</f>
        <v/>
      </c>
      <c r="I30" s="51">
        <f>IF($A30=0,-PurchasePrice*(1+AcqCostPct),0)</f>
        <v/>
      </c>
      <c r="J30" s="51">
        <f>IF($A30=HoldYears,TerminalValue,0)</f>
        <v/>
      </c>
      <c r="K30" s="19">
        <f>SUM($E30:$J30)</f>
        <v/>
      </c>
      <c r="L30" s="71">
        <f>1/(1+DiscRate)^$A30</f>
        <v/>
      </c>
      <c r="M30" s="51">
        <f>$K30*$L30</f>
        <v/>
      </c>
      <c r="N30" s="51">
        <f>SUM($M$13:$M30)</f>
        <v/>
      </c>
    </row>
    <row r="31">
      <c r="A31" s="56" t="n">
        <v>18</v>
      </c>
      <c r="B31" s="72">
        <f>Harvest_Schedule!$B$39</f>
        <v/>
      </c>
      <c r="C31" s="58">
        <f>Harvest_Schedule!$C$39</f>
        <v/>
      </c>
      <c r="D31" s="70">
        <f>Stumpage*(1+PriceGrowth)^$A31</f>
        <v/>
      </c>
      <c r="E31" s="51">
        <f>$B31*$D31</f>
        <v/>
      </c>
      <c r="F31" s="51">
        <f>IF(AND(CarbonOn,$A31&gt;0),Area_ha*CarbonArea*CarbonRate*CarbonPrice,0)</f>
        <v/>
      </c>
      <c r="G31" s="51">
        <f>-$C31*RegenCost</f>
        <v/>
      </c>
      <c r="H31" s="51">
        <f>IF($A31&gt;0,-Area_ha*MgmtCost,0)</f>
        <v/>
      </c>
      <c r="I31" s="51">
        <f>IF($A31=0,-PurchasePrice*(1+AcqCostPct),0)</f>
        <v/>
      </c>
      <c r="J31" s="51">
        <f>IF($A31=HoldYears,TerminalValue,0)</f>
        <v/>
      </c>
      <c r="K31" s="19">
        <f>SUM($E31:$J31)</f>
        <v/>
      </c>
      <c r="L31" s="71">
        <f>1/(1+DiscRate)^$A31</f>
        <v/>
      </c>
      <c r="M31" s="51">
        <f>$K31*$L31</f>
        <v/>
      </c>
      <c r="N31" s="51">
        <f>SUM($M$13:$M31)</f>
        <v/>
      </c>
    </row>
    <row r="32">
      <c r="A32" s="56" t="n">
        <v>19</v>
      </c>
      <c r="B32" s="72">
        <f>Harvest_Schedule!$B$40</f>
        <v/>
      </c>
      <c r="C32" s="58">
        <f>Harvest_Schedule!$C$40</f>
        <v/>
      </c>
      <c r="D32" s="70">
        <f>Stumpage*(1+PriceGrowth)^$A32</f>
        <v/>
      </c>
      <c r="E32" s="51">
        <f>$B32*$D32</f>
        <v/>
      </c>
      <c r="F32" s="51">
        <f>IF(AND(CarbonOn,$A32&gt;0),Area_ha*CarbonArea*CarbonRate*CarbonPrice,0)</f>
        <v/>
      </c>
      <c r="G32" s="51">
        <f>-$C32*RegenCost</f>
        <v/>
      </c>
      <c r="H32" s="51">
        <f>IF($A32&gt;0,-Area_ha*MgmtCost,0)</f>
        <v/>
      </c>
      <c r="I32" s="51">
        <f>IF($A32=0,-PurchasePrice*(1+AcqCostPct),0)</f>
        <v/>
      </c>
      <c r="J32" s="51">
        <f>IF($A32=HoldYears,TerminalValue,0)</f>
        <v/>
      </c>
      <c r="K32" s="19">
        <f>SUM($E32:$J32)</f>
        <v/>
      </c>
      <c r="L32" s="71">
        <f>1/(1+DiscRate)^$A32</f>
        <v/>
      </c>
      <c r="M32" s="51">
        <f>$K32*$L32</f>
        <v/>
      </c>
      <c r="N32" s="51">
        <f>SUM($M$13:$M32)</f>
        <v/>
      </c>
    </row>
    <row r="33">
      <c r="A33" s="56" t="n">
        <v>20</v>
      </c>
      <c r="B33" s="72">
        <f>Harvest_Schedule!$B$41</f>
        <v/>
      </c>
      <c r="C33" s="58">
        <f>Harvest_Schedule!$C$41</f>
        <v/>
      </c>
      <c r="D33" s="70">
        <f>Stumpage*(1+PriceGrowth)^$A33</f>
        <v/>
      </c>
      <c r="E33" s="51">
        <f>$B33*$D33</f>
        <v/>
      </c>
      <c r="F33" s="51">
        <f>IF(AND(CarbonOn,$A33&gt;0),Area_ha*CarbonArea*CarbonRate*CarbonPrice,0)</f>
        <v/>
      </c>
      <c r="G33" s="51">
        <f>-$C33*RegenCost</f>
        <v/>
      </c>
      <c r="H33" s="51">
        <f>IF($A33&gt;0,-Area_ha*MgmtCost,0)</f>
        <v/>
      </c>
      <c r="I33" s="51">
        <f>IF($A33=0,-PurchasePrice*(1+AcqCostPct),0)</f>
        <v/>
      </c>
      <c r="J33" s="51">
        <f>IF($A33=HoldYears,TerminalValue,0)</f>
        <v/>
      </c>
      <c r="K33" s="19">
        <f>SUM($E33:$J33)</f>
        <v/>
      </c>
      <c r="L33" s="71">
        <f>1/(1+DiscRate)^$A33</f>
        <v/>
      </c>
      <c r="M33" s="51">
        <f>$K33*$L33</f>
        <v/>
      </c>
      <c r="N33" s="51">
        <f>SUM($M$13:$M33)</f>
        <v/>
      </c>
    </row>
    <row r="34">
      <c r="A34" s="56" t="n">
        <v>21</v>
      </c>
      <c r="B34" s="72">
        <f>Harvest_Schedule!$B$42</f>
        <v/>
      </c>
      <c r="C34" s="58">
        <f>Harvest_Schedule!$C$42</f>
        <v/>
      </c>
      <c r="D34" s="70">
        <f>Stumpage*(1+PriceGrowth)^$A34</f>
        <v/>
      </c>
      <c r="E34" s="51">
        <f>$B34*$D34</f>
        <v/>
      </c>
      <c r="F34" s="51">
        <f>IF(AND(CarbonOn,$A34&gt;0),Area_ha*CarbonArea*CarbonRate*CarbonPrice,0)</f>
        <v/>
      </c>
      <c r="G34" s="51">
        <f>-$C34*RegenCost</f>
        <v/>
      </c>
      <c r="H34" s="51">
        <f>IF($A34&gt;0,-Area_ha*MgmtCost,0)</f>
        <v/>
      </c>
      <c r="I34" s="51">
        <f>IF($A34=0,-PurchasePrice*(1+AcqCostPct),0)</f>
        <v/>
      </c>
      <c r="J34" s="51">
        <f>IF($A34=HoldYears,TerminalValue,0)</f>
        <v/>
      </c>
      <c r="K34" s="19">
        <f>SUM($E34:$J34)</f>
        <v/>
      </c>
      <c r="L34" s="71">
        <f>1/(1+DiscRate)^$A34</f>
        <v/>
      </c>
      <c r="M34" s="51">
        <f>$K34*$L34</f>
        <v/>
      </c>
      <c r="N34" s="51">
        <f>SUM($M$13:$M34)</f>
        <v/>
      </c>
    </row>
    <row r="35">
      <c r="A35" s="56" t="n">
        <v>22</v>
      </c>
      <c r="B35" s="72">
        <f>Harvest_Schedule!$B$43</f>
        <v/>
      </c>
      <c r="C35" s="58">
        <f>Harvest_Schedule!$C$43</f>
        <v/>
      </c>
      <c r="D35" s="70">
        <f>Stumpage*(1+PriceGrowth)^$A35</f>
        <v/>
      </c>
      <c r="E35" s="51">
        <f>$B35*$D35</f>
        <v/>
      </c>
      <c r="F35" s="51">
        <f>IF(AND(CarbonOn,$A35&gt;0),Area_ha*CarbonArea*CarbonRate*CarbonPrice,0)</f>
        <v/>
      </c>
      <c r="G35" s="51">
        <f>-$C35*RegenCost</f>
        <v/>
      </c>
      <c r="H35" s="51">
        <f>IF($A35&gt;0,-Area_ha*MgmtCost,0)</f>
        <v/>
      </c>
      <c r="I35" s="51">
        <f>IF($A35=0,-PurchasePrice*(1+AcqCostPct),0)</f>
        <v/>
      </c>
      <c r="J35" s="51">
        <f>IF($A35=HoldYears,TerminalValue,0)</f>
        <v/>
      </c>
      <c r="K35" s="19">
        <f>SUM($E35:$J35)</f>
        <v/>
      </c>
      <c r="L35" s="71">
        <f>1/(1+DiscRate)^$A35</f>
        <v/>
      </c>
      <c r="M35" s="51">
        <f>$K35*$L35</f>
        <v/>
      </c>
      <c r="N35" s="51">
        <f>SUM($M$13:$M35)</f>
        <v/>
      </c>
    </row>
    <row r="36">
      <c r="A36" s="56" t="n">
        <v>23</v>
      </c>
      <c r="B36" s="72">
        <f>Harvest_Schedule!$B$44</f>
        <v/>
      </c>
      <c r="C36" s="58">
        <f>Harvest_Schedule!$C$44</f>
        <v/>
      </c>
      <c r="D36" s="70">
        <f>Stumpage*(1+PriceGrowth)^$A36</f>
        <v/>
      </c>
      <c r="E36" s="51">
        <f>$B36*$D36</f>
        <v/>
      </c>
      <c r="F36" s="51">
        <f>IF(AND(CarbonOn,$A36&gt;0),Area_ha*CarbonArea*CarbonRate*CarbonPrice,0)</f>
        <v/>
      </c>
      <c r="G36" s="51">
        <f>-$C36*RegenCost</f>
        <v/>
      </c>
      <c r="H36" s="51">
        <f>IF($A36&gt;0,-Area_ha*MgmtCost,0)</f>
        <v/>
      </c>
      <c r="I36" s="51">
        <f>IF($A36=0,-PurchasePrice*(1+AcqCostPct),0)</f>
        <v/>
      </c>
      <c r="J36" s="51">
        <f>IF($A36=HoldYears,TerminalValue,0)</f>
        <v/>
      </c>
      <c r="K36" s="19">
        <f>SUM($E36:$J36)</f>
        <v/>
      </c>
      <c r="L36" s="71">
        <f>1/(1+DiscRate)^$A36</f>
        <v/>
      </c>
      <c r="M36" s="51">
        <f>$K36*$L36</f>
        <v/>
      </c>
      <c r="N36" s="51">
        <f>SUM($M$13:$M36)</f>
        <v/>
      </c>
    </row>
    <row r="37">
      <c r="A37" s="56" t="n">
        <v>24</v>
      </c>
      <c r="B37" s="72">
        <f>Harvest_Schedule!$B$45</f>
        <v/>
      </c>
      <c r="C37" s="58">
        <f>Harvest_Schedule!$C$45</f>
        <v/>
      </c>
      <c r="D37" s="70">
        <f>Stumpage*(1+PriceGrowth)^$A37</f>
        <v/>
      </c>
      <c r="E37" s="51">
        <f>$B37*$D37</f>
        <v/>
      </c>
      <c r="F37" s="51">
        <f>IF(AND(CarbonOn,$A37&gt;0),Area_ha*CarbonArea*CarbonRate*CarbonPrice,0)</f>
        <v/>
      </c>
      <c r="G37" s="51">
        <f>-$C37*RegenCost</f>
        <v/>
      </c>
      <c r="H37" s="51">
        <f>IF($A37&gt;0,-Area_ha*MgmtCost,0)</f>
        <v/>
      </c>
      <c r="I37" s="51">
        <f>IF($A37=0,-PurchasePrice*(1+AcqCostPct),0)</f>
        <v/>
      </c>
      <c r="J37" s="51">
        <f>IF($A37=HoldYears,TerminalValue,0)</f>
        <v/>
      </c>
      <c r="K37" s="19">
        <f>SUM($E37:$J37)</f>
        <v/>
      </c>
      <c r="L37" s="71">
        <f>1/(1+DiscRate)^$A37</f>
        <v/>
      </c>
      <c r="M37" s="51">
        <f>$K37*$L37</f>
        <v/>
      </c>
      <c r="N37" s="51">
        <f>SUM($M$13:$M37)</f>
        <v/>
      </c>
    </row>
    <row r="38">
      <c r="A38" s="56" t="n">
        <v>25</v>
      </c>
      <c r="B38" s="72">
        <f>Harvest_Schedule!$B$46</f>
        <v/>
      </c>
      <c r="C38" s="58">
        <f>Harvest_Schedule!$C$46</f>
        <v/>
      </c>
      <c r="D38" s="70">
        <f>Stumpage*(1+PriceGrowth)^$A38</f>
        <v/>
      </c>
      <c r="E38" s="51">
        <f>$B38*$D38</f>
        <v/>
      </c>
      <c r="F38" s="51">
        <f>IF(AND(CarbonOn,$A38&gt;0),Area_ha*CarbonArea*CarbonRate*CarbonPrice,0)</f>
        <v/>
      </c>
      <c r="G38" s="51">
        <f>-$C38*RegenCost</f>
        <v/>
      </c>
      <c r="H38" s="51">
        <f>IF($A38&gt;0,-Area_ha*MgmtCost,0)</f>
        <v/>
      </c>
      <c r="I38" s="51">
        <f>IF($A38=0,-PurchasePrice*(1+AcqCostPct),0)</f>
        <v/>
      </c>
      <c r="J38" s="51">
        <f>IF($A38=HoldYears,TerminalValue,0)</f>
        <v/>
      </c>
      <c r="K38" s="19">
        <f>SUM($E38:$J38)</f>
        <v/>
      </c>
      <c r="L38" s="71">
        <f>1/(1+DiscRate)^$A38</f>
        <v/>
      </c>
      <c r="M38" s="51">
        <f>$K38*$L38</f>
        <v/>
      </c>
      <c r="N38" s="51">
        <f>SUM($M$13:$M38)</f>
        <v/>
      </c>
    </row>
    <row r="39">
      <c r="A39" s="56" t="n">
        <v>26</v>
      </c>
      <c r="B39" s="72">
        <f>Harvest_Schedule!$B$47</f>
        <v/>
      </c>
      <c r="C39" s="58">
        <f>Harvest_Schedule!$C$47</f>
        <v/>
      </c>
      <c r="D39" s="70">
        <f>Stumpage*(1+PriceGrowth)^$A39</f>
        <v/>
      </c>
      <c r="E39" s="51">
        <f>$B39*$D39</f>
        <v/>
      </c>
      <c r="F39" s="51">
        <f>IF(AND(CarbonOn,$A39&gt;0),Area_ha*CarbonArea*CarbonRate*CarbonPrice,0)</f>
        <v/>
      </c>
      <c r="G39" s="51">
        <f>-$C39*RegenCost</f>
        <v/>
      </c>
      <c r="H39" s="51">
        <f>IF($A39&gt;0,-Area_ha*MgmtCost,0)</f>
        <v/>
      </c>
      <c r="I39" s="51">
        <f>IF($A39=0,-PurchasePrice*(1+AcqCostPct),0)</f>
        <v/>
      </c>
      <c r="J39" s="51">
        <f>IF($A39=HoldYears,TerminalValue,0)</f>
        <v/>
      </c>
      <c r="K39" s="19">
        <f>SUM($E39:$J39)</f>
        <v/>
      </c>
      <c r="L39" s="71">
        <f>1/(1+DiscRate)^$A39</f>
        <v/>
      </c>
      <c r="M39" s="51">
        <f>$K39*$L39</f>
        <v/>
      </c>
      <c r="N39" s="51">
        <f>SUM($M$13:$M39)</f>
        <v/>
      </c>
    </row>
    <row r="40">
      <c r="A40" s="56" t="n">
        <v>27</v>
      </c>
      <c r="B40" s="72">
        <f>Harvest_Schedule!$B$48</f>
        <v/>
      </c>
      <c r="C40" s="58">
        <f>Harvest_Schedule!$C$48</f>
        <v/>
      </c>
      <c r="D40" s="70">
        <f>Stumpage*(1+PriceGrowth)^$A40</f>
        <v/>
      </c>
      <c r="E40" s="51">
        <f>$B40*$D40</f>
        <v/>
      </c>
      <c r="F40" s="51">
        <f>IF(AND(CarbonOn,$A40&gt;0),Area_ha*CarbonArea*CarbonRate*CarbonPrice,0)</f>
        <v/>
      </c>
      <c r="G40" s="51">
        <f>-$C40*RegenCost</f>
        <v/>
      </c>
      <c r="H40" s="51">
        <f>IF($A40&gt;0,-Area_ha*MgmtCost,0)</f>
        <v/>
      </c>
      <c r="I40" s="51">
        <f>IF($A40=0,-PurchasePrice*(1+AcqCostPct),0)</f>
        <v/>
      </c>
      <c r="J40" s="51">
        <f>IF($A40=HoldYears,TerminalValue,0)</f>
        <v/>
      </c>
      <c r="K40" s="19">
        <f>SUM($E40:$J40)</f>
        <v/>
      </c>
      <c r="L40" s="71">
        <f>1/(1+DiscRate)^$A40</f>
        <v/>
      </c>
      <c r="M40" s="51">
        <f>$K40*$L40</f>
        <v/>
      </c>
      <c r="N40" s="51">
        <f>SUM($M$13:$M40)</f>
        <v/>
      </c>
    </row>
    <row r="41">
      <c r="A41" s="56" t="n">
        <v>28</v>
      </c>
      <c r="B41" s="72">
        <f>Harvest_Schedule!$B$49</f>
        <v/>
      </c>
      <c r="C41" s="58">
        <f>Harvest_Schedule!$C$49</f>
        <v/>
      </c>
      <c r="D41" s="70">
        <f>Stumpage*(1+PriceGrowth)^$A41</f>
        <v/>
      </c>
      <c r="E41" s="51">
        <f>$B41*$D41</f>
        <v/>
      </c>
      <c r="F41" s="51">
        <f>IF(AND(CarbonOn,$A41&gt;0),Area_ha*CarbonArea*CarbonRate*CarbonPrice,0)</f>
        <v/>
      </c>
      <c r="G41" s="51">
        <f>-$C41*RegenCost</f>
        <v/>
      </c>
      <c r="H41" s="51">
        <f>IF($A41&gt;0,-Area_ha*MgmtCost,0)</f>
        <v/>
      </c>
      <c r="I41" s="51">
        <f>IF($A41=0,-PurchasePrice*(1+AcqCostPct),0)</f>
        <v/>
      </c>
      <c r="J41" s="51">
        <f>IF($A41=HoldYears,TerminalValue,0)</f>
        <v/>
      </c>
      <c r="K41" s="19">
        <f>SUM($E41:$J41)</f>
        <v/>
      </c>
      <c r="L41" s="71">
        <f>1/(1+DiscRate)^$A41</f>
        <v/>
      </c>
      <c r="M41" s="51">
        <f>$K41*$L41</f>
        <v/>
      </c>
      <c r="N41" s="51">
        <f>SUM($M$13:$M41)</f>
        <v/>
      </c>
    </row>
    <row r="42">
      <c r="A42" s="56" t="n">
        <v>29</v>
      </c>
      <c r="B42" s="72">
        <f>Harvest_Schedule!$B$50</f>
        <v/>
      </c>
      <c r="C42" s="58">
        <f>Harvest_Schedule!$C$50</f>
        <v/>
      </c>
      <c r="D42" s="70">
        <f>Stumpage*(1+PriceGrowth)^$A42</f>
        <v/>
      </c>
      <c r="E42" s="51">
        <f>$B42*$D42</f>
        <v/>
      </c>
      <c r="F42" s="51">
        <f>IF(AND(CarbonOn,$A42&gt;0),Area_ha*CarbonArea*CarbonRate*CarbonPrice,0)</f>
        <v/>
      </c>
      <c r="G42" s="51">
        <f>-$C42*RegenCost</f>
        <v/>
      </c>
      <c r="H42" s="51">
        <f>IF($A42&gt;0,-Area_ha*MgmtCost,0)</f>
        <v/>
      </c>
      <c r="I42" s="51">
        <f>IF($A42=0,-PurchasePrice*(1+AcqCostPct),0)</f>
        <v/>
      </c>
      <c r="J42" s="51">
        <f>IF($A42=HoldYears,TerminalValue,0)</f>
        <v/>
      </c>
      <c r="K42" s="19">
        <f>SUM($E42:$J42)</f>
        <v/>
      </c>
      <c r="L42" s="71">
        <f>1/(1+DiscRate)^$A42</f>
        <v/>
      </c>
      <c r="M42" s="51">
        <f>$K42*$L42</f>
        <v/>
      </c>
      <c r="N42" s="51">
        <f>SUM($M$13:$M42)</f>
        <v/>
      </c>
    </row>
    <row r="43">
      <c r="A43" s="56" t="n">
        <v>30</v>
      </c>
      <c r="B43" s="72">
        <f>Harvest_Schedule!$B$51</f>
        <v/>
      </c>
      <c r="C43" s="58">
        <f>Harvest_Schedule!$C$51</f>
        <v/>
      </c>
      <c r="D43" s="70">
        <f>Stumpage*(1+PriceGrowth)^$A43</f>
        <v/>
      </c>
      <c r="E43" s="51">
        <f>$B43*$D43</f>
        <v/>
      </c>
      <c r="F43" s="51">
        <f>IF(AND(CarbonOn,$A43&gt;0),Area_ha*CarbonArea*CarbonRate*CarbonPrice,0)</f>
        <v/>
      </c>
      <c r="G43" s="51">
        <f>-$C43*RegenCost</f>
        <v/>
      </c>
      <c r="H43" s="51">
        <f>IF($A43&gt;0,-Area_ha*MgmtCost,0)</f>
        <v/>
      </c>
      <c r="I43" s="51">
        <f>IF($A43=0,-PurchasePrice*(1+AcqCostPct),0)</f>
        <v/>
      </c>
      <c r="J43" s="51">
        <f>IF($A43=HoldYears,TerminalValue,0)</f>
        <v/>
      </c>
      <c r="K43" s="19">
        <f>SUM($E43:$J43)</f>
        <v/>
      </c>
      <c r="L43" s="71">
        <f>1/(1+DiscRate)^$A43</f>
        <v/>
      </c>
      <c r="M43" s="51">
        <f>$K43*$L43</f>
        <v/>
      </c>
      <c r="N43" s="51">
        <f>SUM($M$13:$M43)</f>
        <v/>
      </c>
    </row>
    <row r="45">
      <c r="A45" s="48" t="inlineStr">
        <is>
          <t>Headline results</t>
        </is>
      </c>
    </row>
    <row r="46">
      <c r="A46" s="8" t="inlineStr">
        <is>
          <t>Net present value at the discount rate</t>
        </is>
      </c>
      <c r="B46" s="73">
        <f>$K$13+NPV(DiscRate,$K$14:$K$43)</f>
        <v/>
      </c>
      <c r="C46" s="6" t="inlineStr">
        <is>
          <t>Excel's NPV discounts from period 1, so year 0 is added outside it.</t>
        </is>
      </c>
    </row>
    <row r="47">
      <c r="A47" s="8" t="inlineStr">
        <is>
          <t>Internal rate of return</t>
        </is>
      </c>
      <c r="B47" s="74">
        <f>IRR($K$13:$K$43)</f>
        <v/>
      </c>
      <c r="C47" s="6" t="inlineStr">
        <is>
          <t>Real, unlevered, before fees and tax.</t>
        </is>
      </c>
    </row>
    <row r="48">
      <c r="A48" s="8" t="inlineStr">
        <is>
          <t>Hurdle rate</t>
        </is>
      </c>
      <c r="B48" s="74">
        <f>Hurdle</f>
        <v/>
      </c>
      <c r="C48" s="6" t="inlineStr">
        <is>
          <t>Linked from Assumptions.</t>
        </is>
      </c>
    </row>
    <row r="49">
      <c r="A49" s="8" t="inlineStr">
        <is>
          <t>IRR less hurdle</t>
        </is>
      </c>
      <c r="B49" s="74">
        <f>$B$47-$B$48</f>
        <v/>
      </c>
      <c r="C49" s="6" t="inlineStr">
        <is>
          <t>Positive means proceed.</t>
        </is>
      </c>
    </row>
    <row r="50">
      <c r="A50" s="8" t="inlineStr">
        <is>
          <t>Multiple on invested capital</t>
        </is>
      </c>
      <c r="B50" s="75">
        <f>SUM($K$14:$K$43)/-$K$13</f>
        <v/>
      </c>
      <c r="C50" s="6" t="inlineStr">
        <is>
          <t>Undiscounted cash returned per dollar invested.</t>
        </is>
      </c>
    </row>
    <row r="51">
      <c r="A51" s="8" t="inlineStr">
        <is>
          <t>PV of cash flows excluding the purchase</t>
        </is>
      </c>
      <c r="B51" s="73">
        <f>NPV(DiscRate,$K$14:$K$43)</f>
        <v/>
      </c>
      <c r="C51" s="6" t="inlineStr">
        <is>
          <t>What the tract is worth on these assumptions.</t>
        </is>
      </c>
    </row>
    <row r="52">
      <c r="A52" s="8" t="inlineStr">
        <is>
          <t>Breakeven purchase price</t>
        </is>
      </c>
      <c r="B52" s="73">
        <f>NPV(DiscRate,$K$14:$K$43)/(1+AcqCostPct)</f>
        <v/>
      </c>
      <c r="C52" s="6" t="inlineStr">
        <is>
          <t>The price at which NPV is exactly zero.</t>
        </is>
      </c>
    </row>
    <row r="53">
      <c r="A53" s="8" t="inlineStr">
        <is>
          <t>Breakeven price per hectare</t>
        </is>
      </c>
      <c r="B53" s="76">
        <f>$B$52/Area_ha</f>
        <v/>
      </c>
      <c r="C53" s="6" t="inlineStr">
        <is>
          <t>Compare with the asking price per hectare.</t>
        </is>
      </c>
    </row>
    <row r="54">
      <c r="A54" s="8" t="inlineStr">
        <is>
          <t>Headroom versus the asking price</t>
        </is>
      </c>
      <c r="B54" s="77">
        <f>$B$52/PurchasePrice-1</f>
        <v/>
      </c>
      <c r="C54" s="6" t="inlineStr">
        <is>
          <t>How far the price could rise before the deal stops clearing the hurdle.</t>
        </is>
      </c>
    </row>
    <row r="55">
      <c r="A55" s="8" t="inlineStr">
        <is>
          <t>Recommendation</t>
        </is>
      </c>
      <c r="B55" s="78">
        <f>IF(AND($B$46&gt;0,$B$47&gt;=Hurdle),"BUY at or below the breakeven price","PASS at this price")</f>
        <v/>
      </c>
      <c r="C55" s="6" t="inlineStr">
        <is>
          <t>Driven by the two tests above.</t>
        </is>
      </c>
    </row>
  </sheetData>
  <mergeCells count="3">
    <mergeCell ref="A3:M3"/>
    <mergeCell ref="A2:M2"/>
    <mergeCell ref="A1:M1"/>
  </mergeCells>
  <printOptions horizontalCentered="1"/>
  <pageMargins left="0.75" right="0.75" top="1" bottom="1" header="0.5" footer="0.5"/>
  <pageSetup orientation="landscape" fitToHeight="0" fitToWidth="1"/>
  <headerFooter>
    <oddHeader/>
    <oddFooter>&amp;L&amp;8 HYPOTHETICAL TRACT, FOR PORTFOLIO PURPOSES ONLY. NOT INVESTMENT ADVICE.&amp;R&amp;8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2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ht="27" customHeight="1">
      <c r="A1" s="26" t="inlineStr">
        <is>
          <t>Two-way sensitivity</t>
        </is>
      </c>
    </row>
    <row r="2">
      <c r="A2" s="27" t="inlineStr">
        <is>
          <t>Project IRR. Values are computed in Python because each cell is a complete model re-run, including re-solving the rotation and the harvest schedule.</t>
        </is>
      </c>
    </row>
    <row r="3">
      <c r="A3" s="28" t="inlineStr">
        <is>
          <t>HYPOTHETICAL TRACT, FOR PORTFOLIO PURPOSES ONLY. NOT INVESTMENT ADVICE.</t>
        </is>
      </c>
    </row>
    <row r="5">
      <c r="A5" s="48" t="inlineStr">
        <is>
          <t>IRR by net stumpage price and real discount rate</t>
        </is>
      </c>
    </row>
    <row r="6">
      <c r="A6" s="6" t="inlineStr">
        <is>
          <t>The discount rate barely moves the IRR: it enters only through the rotation age and the price of the year-30 exit, not through the operating cash flows.</t>
        </is>
      </c>
    </row>
    <row r="7" ht="30" customHeight="1">
      <c r="A7" s="7" t="inlineStr">
        <is>
          <t>Net stumpage ($/m³) ↓ / Real discount rate →</t>
        </is>
      </c>
      <c r="B7" s="79" t="inlineStr">
        <is>
          <t>4%</t>
        </is>
      </c>
      <c r="C7" s="79" t="inlineStr">
        <is>
          <t>5%</t>
        </is>
      </c>
      <c r="D7" s="79" t="inlineStr">
        <is>
          <t>6%</t>
        </is>
      </c>
      <c r="E7" s="79" t="inlineStr">
        <is>
          <t>7%</t>
        </is>
      </c>
      <c r="F7" s="79" t="inlineStr">
        <is>
          <t>8%</t>
        </is>
      </c>
    </row>
    <row r="8">
      <c r="A8" s="18" t="inlineStr">
        <is>
          <t>$34</t>
        </is>
      </c>
      <c r="B8" s="80" t="n">
        <v>0.04527662146042724</v>
      </c>
      <c r="C8" s="80" t="n">
        <v>0.04417027604529038</v>
      </c>
      <c r="D8" s="80" t="n">
        <v>0.04345380890900721</v>
      </c>
      <c r="E8" s="80" t="n">
        <v>0.04307975473218142</v>
      </c>
      <c r="F8" s="80" t="n">
        <v>0.04290620481694513</v>
      </c>
    </row>
    <row r="9">
      <c r="A9" s="18" t="inlineStr">
        <is>
          <t>$38</t>
        </is>
      </c>
      <c r="B9" s="80" t="n">
        <v>0.05579597956456302</v>
      </c>
      <c r="C9" s="80" t="n">
        <v>0.05502838267042846</v>
      </c>
      <c r="D9" s="80" t="n">
        <v>0.05479883549557266</v>
      </c>
      <c r="E9" s="80" t="n">
        <v>0.05461298550488351</v>
      </c>
      <c r="F9" s="80" t="n">
        <v>0.05437793430267562</v>
      </c>
    </row>
    <row r="10">
      <c r="A10" s="18" t="inlineStr">
        <is>
          <t>$43</t>
        </is>
      </c>
      <c r="B10" s="81" t="n">
        <v>0.0656490780911399</v>
      </c>
      <c r="C10" s="81" t="n">
        <v>0.06554142555277437</v>
      </c>
      <c r="D10" s="81" t="n">
        <v>0.06526425338994034</v>
      </c>
      <c r="E10" s="81" t="n">
        <v>0.06526838562107026</v>
      </c>
      <c r="F10" s="81" t="n">
        <v>0.06542554648737915</v>
      </c>
    </row>
    <row r="11">
      <c r="A11" s="18" t="inlineStr">
        <is>
          <t>$48</t>
        </is>
      </c>
      <c r="B11" s="81" t="n">
        <v>0.07542305733852055</v>
      </c>
      <c r="C11" s="81" t="n">
        <v>0.07528287669853355</v>
      </c>
      <c r="D11" s="81" t="n">
        <v>0.0752129663565531</v>
      </c>
      <c r="E11" s="81" t="n">
        <v>0.07539804529922117</v>
      </c>
      <c r="F11" s="81" t="n">
        <v>0.07571620489661754</v>
      </c>
    </row>
    <row r="12">
      <c r="A12" s="18" t="inlineStr">
        <is>
          <t>$53</t>
        </is>
      </c>
      <c r="B12" s="81" t="n">
        <v>0.08447400745955429</v>
      </c>
      <c r="C12" s="81" t="n">
        <v>0.0846385748966557</v>
      </c>
      <c r="D12" s="81" t="n">
        <v>0.08520521069577341</v>
      </c>
      <c r="E12" s="81" t="n">
        <v>0.08554163221175977</v>
      </c>
      <c r="F12" s="81" t="n">
        <v>0.0855990049144916</v>
      </c>
    </row>
    <row r="13">
      <c r="A13" s="18" t="inlineStr">
        <is>
          <t>$58</t>
        </is>
      </c>
      <c r="B13" s="81" t="n">
        <v>0.09323519767499434</v>
      </c>
      <c r="C13" s="81" t="n">
        <v>0.09369638721690991</v>
      </c>
      <c r="D13" s="81" t="n">
        <v>0.09451813085326273</v>
      </c>
      <c r="E13" s="81" t="n">
        <v>0.09501908920912801</v>
      </c>
      <c r="F13" s="81" t="n">
        <v>0.09516514057803005</v>
      </c>
    </row>
    <row r="14">
      <c r="A14" s="18" t="inlineStr">
        <is>
          <t>$62</t>
        </is>
      </c>
      <c r="B14" s="81" t="n">
        <v>0.1017710035935188</v>
      </c>
      <c r="C14" s="81" t="n">
        <v>0.1025214928779281</v>
      </c>
      <c r="D14" s="81" t="n">
        <v>0.1035910283732826</v>
      </c>
      <c r="E14" s="81" t="n">
        <v>0.1042508889640354</v>
      </c>
      <c r="F14" s="81" t="n">
        <v>0.1049767154135127</v>
      </c>
    </row>
    <row r="17">
      <c r="A17" s="48" t="inlineStr">
        <is>
          <t>IRR by purchase price and real stumpage price growth</t>
        </is>
      </c>
    </row>
    <row r="18">
      <c r="A18" s="6" t="inlineStr">
        <is>
          <t>Entry price is the dominant variable. Bold cells clear the hurdle.</t>
        </is>
      </c>
    </row>
    <row r="19" ht="30" customHeight="1">
      <c r="A19" s="7" t="inlineStr">
        <is>
          <t>Purchase price ↓ / Real price growth →</t>
        </is>
      </c>
      <c r="B19" s="79" t="inlineStr">
        <is>
          <t>-0.5%</t>
        </is>
      </c>
      <c r="C19" s="79" t="inlineStr">
        <is>
          <t>+0.0%</t>
        </is>
      </c>
      <c r="D19" s="79" t="inlineStr">
        <is>
          <t>+0.5%</t>
        </is>
      </c>
      <c r="E19" s="79" t="inlineStr">
        <is>
          <t>+1.0%</t>
        </is>
      </c>
      <c r="F19" s="79" t="inlineStr">
        <is>
          <t>+1.5%</t>
        </is>
      </c>
    </row>
    <row r="20">
      <c r="A20" s="18" t="inlineStr">
        <is>
          <t>$64M</t>
        </is>
      </c>
      <c r="B20" s="81" t="n">
        <v>0.1005586319853245</v>
      </c>
      <c r="C20" s="81" t="n">
        <v>0.1064929673935559</v>
      </c>
      <c r="D20" s="81" t="n">
        <v>0.1123907510744907</v>
      </c>
      <c r="E20" s="81" t="n">
        <v>0.1182567183776873</v>
      </c>
      <c r="F20" s="81" t="n">
        <v>0.1240948738738121</v>
      </c>
    </row>
    <row r="21">
      <c r="A21" s="18" t="inlineStr">
        <is>
          <t>$78M</t>
        </is>
      </c>
      <c r="B21" s="81" t="n">
        <v>0.07934246248151054</v>
      </c>
      <c r="C21" s="81" t="n">
        <v>0.08518894921818285</v>
      </c>
      <c r="D21" s="81" t="n">
        <v>0.09099357671333605</v>
      </c>
      <c r="E21" s="81" t="n">
        <v>0.09676202670560081</v>
      </c>
      <c r="F21" s="81" t="n">
        <v>0.1024990714686808</v>
      </c>
    </row>
    <row r="22">
      <c r="A22" s="18" t="inlineStr">
        <is>
          <t>$92M</t>
        </is>
      </c>
      <c r="B22" s="81" t="n">
        <v>0.06369177520093997</v>
      </c>
      <c r="C22" s="81" t="n">
        <v>0.0694754151888686</v>
      </c>
      <c r="D22" s="81" t="n">
        <v>0.0752129663565531</v>
      </c>
      <c r="E22" s="81" t="n">
        <v>0.08091088027612182</v>
      </c>
      <c r="F22" s="81" t="n">
        <v>0.08657454983097763</v>
      </c>
    </row>
    <row r="23">
      <c r="A23" s="18" t="inlineStr">
        <is>
          <t>$106M</t>
        </is>
      </c>
      <c r="B23" s="80" t="n">
        <v>0.05148056229693827</v>
      </c>
      <c r="C23" s="80" t="n">
        <v>0.05721610480775537</v>
      </c>
      <c r="D23" s="81" t="n">
        <v>0.06290212277099887</v>
      </c>
      <c r="E23" s="81" t="n">
        <v>0.06854570281283709</v>
      </c>
      <c r="F23" s="81" t="n">
        <v>0.07415274720242412</v>
      </c>
    </row>
    <row r="24">
      <c r="A24" s="18" t="inlineStr">
        <is>
          <t>$120M</t>
        </is>
      </c>
      <c r="B24" s="80" t="n">
        <v>0.04156766014975767</v>
      </c>
      <c r="C24" s="80" t="n">
        <v>0.04726462144949477</v>
      </c>
      <c r="D24" s="80" t="n">
        <v>0.05290921196481046</v>
      </c>
      <c r="E24" s="80" t="n">
        <v>0.05850905081104751</v>
      </c>
      <c r="F24" s="81" t="n">
        <v>0.0640704656961027</v>
      </c>
    </row>
    <row r="26">
      <c r="A26" s="6" t="inlineStr">
        <is>
          <t>Hurdle rate for shading and bolding: 6.0%</t>
        </is>
      </c>
    </row>
  </sheetData>
  <mergeCells count="3">
    <mergeCell ref="A3:H3"/>
    <mergeCell ref="A2:H2"/>
    <mergeCell ref="A1:H1"/>
  </mergeCells>
  <conditionalFormatting sqref="B8:F14">
    <cfRule type="colorScale" priority="1">
      <colorScale>
        <cfvo type="min"/>
        <cfvo type="num" val="0.06"/>
        <cfvo type="max"/>
        <color rgb="00C1663B"/>
        <color rgb="00F6F1E7"/>
        <color rgb="001B4332"/>
      </colorScale>
    </cfRule>
  </conditionalFormatting>
  <conditionalFormatting sqref="B20:F24">
    <cfRule type="colorScale" priority="2">
      <colorScale>
        <cfvo type="min"/>
        <cfvo type="num" val="0.06"/>
        <cfvo type="max"/>
        <color rgb="00C1663B"/>
        <color rgb="00F6F1E7"/>
        <color rgb="001B4332"/>
      </colorScale>
    </cfRule>
  </conditionalFormatting>
  <printOptions horizontalCentered="1"/>
  <pageMargins left="0.75" right="0.75" top="1" bottom="1" header="0.5" footer="0.5"/>
  <pageSetup orientation="landscape" fitToHeight="0" fitToWidth="1"/>
  <headerFooter>
    <oddHeader/>
    <oddFooter>&amp;L&amp;8 HYPOTHETICAL TRACT, FOR PORTFOLIO PURPOSES ONLY. NOT INVESTMENT ADVICE.&amp;R&amp;8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27"/>
  <sheetViews>
    <sheetView workbookViewId="0">
      <selection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6" customWidth="1" min="7" max="7"/>
    <col width="18" customWidth="1" min="8" max="8"/>
  </cols>
  <sheetData>
    <row r="1" ht="27" customHeight="1">
      <c r="A1" s="26" t="inlineStr">
        <is>
          <t>Monte Carlo risk analysis</t>
        </is>
      </c>
    </row>
    <row r="2">
      <c r="A2" s="27" t="inlineStr">
        <is>
          <t>10,000 paths, seed 42. Mean-reverting stumpage prices and random wildfire or pest losses, run through the same cohort model.</t>
        </is>
      </c>
    </row>
    <row r="3">
      <c r="A3" s="28" t="inlineStr">
        <is>
          <t>HYPOTHETICAL TRACT, FOR PORTFOLIO PURPOSES ONLY. NOT INVESTMENT ADVICE.</t>
        </is>
      </c>
    </row>
    <row r="5">
      <c r="A5" s="48" t="inlineStr">
        <is>
          <t>IRR distribution by strategy</t>
        </is>
      </c>
    </row>
    <row r="6" ht="30" customHeight="1">
      <c r="A6" s="7" t="inlineStr">
        <is>
          <t>Strategy</t>
        </is>
      </c>
      <c r="B6" s="7" t="inlineStr">
        <is>
          <t>P5</t>
        </is>
      </c>
      <c r="C6" s="7" t="inlineStr">
        <is>
          <t>P25</t>
        </is>
      </c>
      <c r="D6" s="7" t="inlineStr">
        <is>
          <t>Median</t>
        </is>
      </c>
      <c r="E6" s="7" t="inlineStr">
        <is>
          <t>P75</t>
        </is>
      </c>
      <c r="F6" s="7" t="inlineStr">
        <is>
          <t>P95</t>
        </is>
      </c>
      <c r="G6" s="7" t="inlineStr">
        <is>
          <t>Mean</t>
        </is>
      </c>
      <c r="H6" s="7" t="inlineStr">
        <is>
          <t>P(IRR &lt; hurdle)</t>
        </is>
      </c>
    </row>
    <row r="7">
      <c r="A7" s="8" t="inlineStr">
        <is>
          <t>Scheduled harvest</t>
        </is>
      </c>
      <c r="B7" s="82" t="n">
        <v>0.05580491319789036</v>
      </c>
      <c r="C7" s="82" t="n">
        <v>0.0680634727476383</v>
      </c>
      <c r="D7" s="82" t="n">
        <v>0.07738583889147599</v>
      </c>
      <c r="E7" s="82" t="n">
        <v>0.08819406561043863</v>
      </c>
      <c r="F7" s="82" t="n">
        <v>0.1055165074238529</v>
      </c>
      <c r="G7" s="82" t="n">
        <v>0.07869891091886129</v>
      </c>
      <c r="H7" s="83" t="n">
        <v>0.0956</v>
      </c>
    </row>
    <row r="8">
      <c r="A8" s="8" t="inlineStr">
        <is>
          <t>Flexible harvest</t>
        </is>
      </c>
      <c r="B8" s="82" t="n">
        <v>0.05374207443768447</v>
      </c>
      <c r="C8" s="82" t="n">
        <v>0.06811036972633977</v>
      </c>
      <c r="D8" s="82" t="n">
        <v>0.08015414508869056</v>
      </c>
      <c r="E8" s="82" t="n">
        <v>0.09503201774156761</v>
      </c>
      <c r="F8" s="82" t="n">
        <v>0.1180850267885036</v>
      </c>
      <c r="G8" s="82" t="n">
        <v>0.08241984684658754</v>
      </c>
      <c r="H8" s="83" t="n">
        <v>0.1156</v>
      </c>
    </row>
    <row r="10">
      <c r="A10" s="48" t="inlineStr">
        <is>
          <t>Headline risk measures</t>
        </is>
      </c>
    </row>
    <row r="11">
      <c r="A11" s="8" t="inlineStr">
        <is>
          <t>Hurdle rate</t>
        </is>
      </c>
      <c r="B11" s="84">
        <f>Hurdle</f>
        <v/>
      </c>
      <c r="C11" s="6" t="inlineStr">
        <is>
          <t>Linked from Assumptions</t>
        </is>
      </c>
    </row>
    <row r="12">
      <c r="A12" s="8" t="inlineStr">
        <is>
          <t>Probability of missing the hurdle (scheduled)</t>
        </is>
      </c>
      <c r="B12" s="17" t="n">
        <v>0.0956</v>
      </c>
      <c r="C12" s="6" t="inlineStr">
        <is>
          <t>Share of the 10,000 paths returning less than the hurdle</t>
        </is>
      </c>
    </row>
    <row r="13">
      <c r="A13" s="8" t="inlineStr">
        <is>
          <t>Value of harvest timing flexibility</t>
        </is>
      </c>
      <c r="B13" s="19" t="n">
        <v>3526107.957752835</v>
      </c>
      <c r="C13" s="6" t="inlineStr">
        <is>
          <t>Mean NPV of the flexible strategy less the scheduled strategy</t>
        </is>
      </c>
    </row>
    <row r="14">
      <c r="A14" s="8" t="inlineStr">
        <is>
          <t>Value of flexibility per hectare</t>
        </is>
      </c>
      <c r="B14" s="54" t="n">
        <v>176.3053978876418</v>
      </c>
      <c r="C14" s="6" t="inlineStr">
        <is>
          <t>The real option is worth this much per hectare</t>
        </is>
      </c>
    </row>
    <row r="15">
      <c r="A15" s="8" t="inlineStr">
        <is>
          <t>Flexibility gain in mean IRR</t>
        </is>
      </c>
      <c r="B15" s="85" t="n">
        <v>0.003720935927726252</v>
      </c>
      <c r="C15" s="6" t="inlineStr">
        <is>
          <t>Same comparison, expressed as a return</t>
        </is>
      </c>
    </row>
    <row r="16">
      <c r="A16" s="8" t="inlineStr">
        <is>
          <t>Expected cost of fire and pests</t>
        </is>
      </c>
      <c r="B16" s="19" t="n">
        <v>1124144.449824307</v>
      </c>
      <c r="C16" s="6" t="inlineStr">
        <is>
          <t>Mean NPV with disturbances switched off, less the base case, on identical price paths</t>
        </is>
      </c>
    </row>
    <row r="17">
      <c r="A17" s="8" t="inlineStr">
        <is>
          <t>Expected cost per hectare</t>
        </is>
      </c>
      <c r="B17" s="54" t="n">
        <v>56.20722249121535</v>
      </c>
      <c r="C17" s="6" t="inlineStr"/>
    </row>
    <row r="18">
      <c r="A18" s="8" t="inlineStr">
        <is>
          <t>Mean disturbance events per path</t>
        </is>
      </c>
      <c r="B18" s="86" t="n">
        <v>0.5971</v>
      </c>
      <c r="C18" s="6" t="inlineStr">
        <is>
          <t>30 years at the configured annual probability</t>
        </is>
      </c>
    </row>
    <row r="19">
      <c r="A19" s="8" t="inlineStr">
        <is>
          <t>Paths seeing at least one event</t>
        </is>
      </c>
      <c r="B19" s="17" t="n">
        <v>0.4551</v>
      </c>
      <c r="C19" s="6" t="inlineStr"/>
    </row>
    <row r="20">
      <c r="A20" s="8" t="inlineStr">
        <is>
          <t>Worst single event in the simulation</t>
        </is>
      </c>
      <c r="B20" s="17" t="n">
        <v>0.3264390856932649</v>
      </c>
      <c r="C20" s="6" t="inlineStr">
        <is>
          <t>Share of the tract destroyed in one year</t>
        </is>
      </c>
    </row>
    <row r="23">
      <c r="A23" s="48" t="inlineStr">
        <is>
          <t>Why flexibility has value</t>
        </is>
      </c>
    </row>
    <row r="24">
      <c r="A24" s="87" t="inlineStr">
        <is>
          <t>Prices mean revert, so a low price today is information: it is likely to rise. The even-flow agreement still allows the cut to move ±15% around the target, and shifting volume out of weak years into strong ones is worth the figure above. Under a random walk the same option would be worth nothing, because today's price would already be the best forecast of tomorrow's.</t>
        </is>
      </c>
    </row>
    <row r="25"/>
    <row r="26"/>
    <row r="27"/>
  </sheetData>
  <mergeCells count="4">
    <mergeCell ref="A1:J1"/>
    <mergeCell ref="A24:J27"/>
    <mergeCell ref="A3:J3"/>
    <mergeCell ref="A2:J2"/>
  </mergeCells>
  <printOptions horizontalCentered="1"/>
  <pageMargins left="0.75" right="0.75" top="1" bottom="1" header="0.5" footer="0.5"/>
  <pageSetup orientation="landscape" fitToHeight="0" fitToWidth="1"/>
  <headerFooter>
    <oddHeader/>
    <oddFooter>&amp;L&amp;8 HYPOTHETICAL TRACT, FOR PORTFOLIO PURPOSES ONLY. NOT INVESTMENT ADVICE.&amp;R&amp;8 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J48"/>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0" customWidth="1" min="1" max="1"/>
    <col width="19" customWidth="1" min="2" max="2"/>
    <col width="19" customWidth="1" min="3" max="3"/>
    <col width="14" customWidth="1" min="4" max="4"/>
    <col width="12" customWidth="1" min="5" max="5"/>
    <col width="10" customWidth="1" min="6" max="6"/>
    <col width="9" customWidth="1" min="7" max="7"/>
    <col width="13" customWidth="1" min="8" max="8"/>
    <col width="13" customWidth="1" min="9" max="9"/>
  </cols>
  <sheetData>
    <row r="1" ht="27" customHeight="1">
      <c r="A1" s="26" t="inlineStr">
        <is>
          <t>Portfolio fit: correlation and inflation</t>
        </is>
      </c>
    </row>
    <row r="2">
      <c r="A2" s="27" t="inlineStr">
        <is>
          <t>Real market data. This sheet tests the two claims usually made for timberland and reports what the data says, including where it disagrees.</t>
        </is>
      </c>
    </row>
    <row r="3">
      <c r="A3" s="28" t="inlineStr">
        <is>
          <t>HYPOTHETICAL TRACT, FOR PORTFOLIO PURPOSES ONLY. NOT INVESTMENT ADVICE.</t>
        </is>
      </c>
    </row>
    <row r="5">
      <c r="A5" s="48" t="inlineStr">
        <is>
          <t>Correlation of monthly total returns</t>
        </is>
      </c>
    </row>
    <row r="6">
      <c r="A6" s="6" t="inlineStr">
        <is>
          <t>Feb 1985 to Sep 2026. High correlation is shaded orange because it is the unhelpful outcome for a diversification case.</t>
        </is>
      </c>
    </row>
    <row r="7" ht="34" customHeight="1">
      <c r="A7" s="88" t="inlineStr"/>
      <c r="B7" s="89" t="inlineStr">
        <is>
          <t>Weyerhaeuser (WY)</t>
        </is>
      </c>
      <c r="C7" s="89" t="inlineStr">
        <is>
          <t>Rayonier (RYN)</t>
        </is>
      </c>
      <c r="D7" s="89" t="inlineStr">
        <is>
          <t>Acadian Timber (ADN)</t>
        </is>
      </c>
      <c r="E7" s="89" t="inlineStr">
        <is>
          <t>Gladstone Land (LAND)</t>
        </is>
      </c>
      <c r="F7" s="89" t="inlineStr">
        <is>
          <t>Farmland Partners (FPI)</t>
        </is>
      </c>
      <c r="G7" s="89" t="inlineStr">
        <is>
          <t>S&amp;P/TSX Composite</t>
        </is>
      </c>
      <c r="H7" s="89" t="inlineStr">
        <is>
          <t>S&amp;P 500</t>
        </is>
      </c>
      <c r="I7" s="89" t="inlineStr">
        <is>
          <t>Canadian bonds (XBB)</t>
        </is>
      </c>
    </row>
    <row r="8">
      <c r="A8" s="18" t="inlineStr">
        <is>
          <t>Weyerhaeuser (WY)</t>
        </is>
      </c>
      <c r="B8" s="90" t="n">
        <v>1</v>
      </c>
      <c r="C8" s="90" t="n">
        <v>0.6818378598849526</v>
      </c>
      <c r="D8" s="90" t="n">
        <v>0.5083122489941514</v>
      </c>
      <c r="E8" s="90" t="n">
        <v>0.407000678539558</v>
      </c>
      <c r="F8" s="90" t="n">
        <v>0.3529560729154037</v>
      </c>
      <c r="G8" s="90" t="n">
        <v>0.5514525308172564</v>
      </c>
      <c r="H8" s="90" t="n">
        <v>0.6725760328238993</v>
      </c>
      <c r="I8" s="90" t="n">
        <v>0.1010288063238517</v>
      </c>
    </row>
    <row r="9">
      <c r="A9" s="18" t="inlineStr">
        <is>
          <t>Rayonier (RYN)</t>
        </is>
      </c>
      <c r="B9" s="90" t="n">
        <v>0.6818378598849526</v>
      </c>
      <c r="C9" s="90" t="n">
        <v>1</v>
      </c>
      <c r="D9" s="90" t="n">
        <v>0.4175188616953093</v>
      </c>
      <c r="E9" s="90" t="n">
        <v>0.3347906585697924</v>
      </c>
      <c r="F9" s="90" t="n">
        <v>0.4228386429712279</v>
      </c>
      <c r="G9" s="90" t="n">
        <v>0.4610391481796958</v>
      </c>
      <c r="H9" s="90" t="n">
        <v>0.5391101134351942</v>
      </c>
      <c r="I9" s="90" t="n">
        <v>0.1153538889501162</v>
      </c>
    </row>
    <row r="10">
      <c r="A10" s="18" t="inlineStr">
        <is>
          <t>Acadian Timber (ADN)</t>
        </is>
      </c>
      <c r="B10" s="90" t="n">
        <v>0.5083122489941514</v>
      </c>
      <c r="C10" s="90" t="n">
        <v>0.4175188616953093</v>
      </c>
      <c r="D10" s="90" t="n">
        <v>1</v>
      </c>
      <c r="E10" s="90" t="n">
        <v>0.2133460141353977</v>
      </c>
      <c r="F10" s="90" t="n">
        <v>0.2283495189951026</v>
      </c>
      <c r="G10" s="90" t="n">
        <v>0.4089204113771125</v>
      </c>
      <c r="H10" s="90" t="n">
        <v>0.4097411858799773</v>
      </c>
      <c r="I10" s="90" t="n">
        <v>0.09351666467382393</v>
      </c>
    </row>
    <row r="11">
      <c r="A11" s="18" t="inlineStr">
        <is>
          <t>Gladstone Land (LAND)</t>
        </is>
      </c>
      <c r="B11" s="90" t="n">
        <v>0.407000678539558</v>
      </c>
      <c r="C11" s="90" t="n">
        <v>0.3347906585697924</v>
      </c>
      <c r="D11" s="90" t="n">
        <v>0.2133460141353977</v>
      </c>
      <c r="E11" s="90" t="n">
        <v>1</v>
      </c>
      <c r="F11" s="90" t="n">
        <v>0.4417096760208988</v>
      </c>
      <c r="G11" s="90" t="n">
        <v>0.4160898267153606</v>
      </c>
      <c r="H11" s="90" t="n">
        <v>0.4266549289147419</v>
      </c>
      <c r="I11" s="90" t="n">
        <v>0.2405179038203249</v>
      </c>
    </row>
    <row r="12">
      <c r="A12" s="18" t="inlineStr">
        <is>
          <t>Farmland Partners (FPI)</t>
        </is>
      </c>
      <c r="B12" s="90" t="n">
        <v>0.3529560729154037</v>
      </c>
      <c r="C12" s="90" t="n">
        <v>0.4228386429712279</v>
      </c>
      <c r="D12" s="90" t="n">
        <v>0.2283495189951026</v>
      </c>
      <c r="E12" s="90" t="n">
        <v>0.4417096760208988</v>
      </c>
      <c r="F12" s="90" t="n">
        <v>1</v>
      </c>
      <c r="G12" s="90" t="n">
        <v>0.34283081069318</v>
      </c>
      <c r="H12" s="90" t="n">
        <v>0.3518140548129208</v>
      </c>
      <c r="I12" s="90" t="n">
        <v>0.137431416638744</v>
      </c>
    </row>
    <row r="13">
      <c r="A13" s="18" t="inlineStr">
        <is>
          <t>S&amp;P/TSX Composite</t>
        </is>
      </c>
      <c r="B13" s="90" t="n">
        <v>0.5514525308172564</v>
      </c>
      <c r="C13" s="90" t="n">
        <v>0.4610391481796958</v>
      </c>
      <c r="D13" s="90" t="n">
        <v>0.4089204113771125</v>
      </c>
      <c r="E13" s="90" t="n">
        <v>0.4160898267153606</v>
      </c>
      <c r="F13" s="90" t="n">
        <v>0.34283081069318</v>
      </c>
      <c r="G13" s="90" t="n">
        <v>1</v>
      </c>
      <c r="H13" s="90" t="n">
        <v>0.7824477228290226</v>
      </c>
      <c r="I13" s="90" t="n">
        <v>0.1642029559090438</v>
      </c>
    </row>
    <row r="14">
      <c r="A14" s="18" t="inlineStr">
        <is>
          <t>S&amp;P 500</t>
        </is>
      </c>
      <c r="B14" s="90" t="n">
        <v>0.6725760328238993</v>
      </c>
      <c r="C14" s="90" t="n">
        <v>0.5391101134351942</v>
      </c>
      <c r="D14" s="90" t="n">
        <v>0.4097411858799773</v>
      </c>
      <c r="E14" s="90" t="n">
        <v>0.4266549289147419</v>
      </c>
      <c r="F14" s="90" t="n">
        <v>0.3518140548129208</v>
      </c>
      <c r="G14" s="90" t="n">
        <v>0.7824477228290226</v>
      </c>
      <c r="H14" s="90" t="n">
        <v>1</v>
      </c>
      <c r="I14" s="90" t="n">
        <v>0.1181575573383441</v>
      </c>
    </row>
    <row r="15">
      <c r="A15" s="18" t="inlineStr">
        <is>
          <t>Canadian bonds (XBB)</t>
        </is>
      </c>
      <c r="B15" s="90" t="n">
        <v>0.1010288063238517</v>
      </c>
      <c r="C15" s="90" t="n">
        <v>0.1153538889501162</v>
      </c>
      <c r="D15" s="90" t="n">
        <v>0.09351666467382393</v>
      </c>
      <c r="E15" s="90" t="n">
        <v>0.2405179038203249</v>
      </c>
      <c r="F15" s="90" t="n">
        <v>0.137431416638744</v>
      </c>
      <c r="G15" s="90" t="n">
        <v>0.1642029559090438</v>
      </c>
      <c r="H15" s="90" t="n">
        <v>0.1181575573383441</v>
      </c>
      <c r="I15" s="90" t="n">
        <v>1</v>
      </c>
    </row>
    <row r="18">
      <c r="A18" s="48" t="inlineStr">
        <is>
          <t>Inflation beta: annual total return regressed on annual CPI inflation</t>
        </is>
      </c>
    </row>
    <row r="19">
      <c r="A19" s="6" t="inlineStr">
        <is>
          <t>CPI source: Statistics Canada table 18-10-0004-01, Consumer Price Index, all-items, Canada, monthly (vector v41690973)</t>
        </is>
      </c>
    </row>
    <row r="20" ht="30" customHeight="1">
      <c r="A20" s="7" t="inlineStr">
        <is>
          <t>Asset</t>
        </is>
      </c>
      <c r="B20" s="7" t="inlineStr">
        <is>
          <t>Inflation beta</t>
        </is>
      </c>
      <c r="C20" s="7" t="inlineStr">
        <is>
          <t>Standard error</t>
        </is>
      </c>
      <c r="D20" s="7" t="inlineStr">
        <is>
          <t>t-statistic</t>
        </is>
      </c>
      <c r="E20" s="7" t="inlineStr">
        <is>
          <t>p-value</t>
        </is>
      </c>
      <c r="F20" s="7" t="inlineStr">
        <is>
          <t>R²</t>
        </is>
      </c>
      <c r="G20" s="7" t="inlineStr">
        <is>
          <t>Years</t>
        </is>
      </c>
    </row>
    <row r="21">
      <c r="A21" s="8" t="inlineStr">
        <is>
          <t>Weyerhaeuser (WY)</t>
        </is>
      </c>
      <c r="B21" s="57" t="n">
        <v>-1.327948782632873</v>
      </c>
      <c r="C21" s="57" t="n">
        <v>2.671778453514726</v>
      </c>
      <c r="D21" s="57" t="n">
        <v>-0.4970280304813282</v>
      </c>
      <c r="E21" s="57" t="n">
        <v>0.6219597386992883</v>
      </c>
      <c r="F21" s="57" t="n">
        <v>0.006294408007054197</v>
      </c>
      <c r="G21" s="91" t="n">
        <v>41</v>
      </c>
    </row>
    <row r="22">
      <c r="A22" s="8" t="inlineStr">
        <is>
          <t>Rayonier (RYN)</t>
        </is>
      </c>
      <c r="B22" s="57" t="n">
        <v>-1.45310707512315</v>
      </c>
      <c r="C22" s="57" t="n">
        <v>3.352439462588325</v>
      </c>
      <c r="D22" s="57" t="n">
        <v>-0.4334476703723225</v>
      </c>
      <c r="E22" s="57" t="n">
        <v>0.6677904543937794</v>
      </c>
      <c r="F22" s="57" t="n">
        <v>0.006223587159827666</v>
      </c>
      <c r="G22" s="91" t="n">
        <v>32</v>
      </c>
    </row>
    <row r="23">
      <c r="A23" s="8" t="inlineStr">
        <is>
          <t>Acadian Timber (ADN)</t>
        </is>
      </c>
      <c r="B23" s="57" t="n">
        <v>-2.714867761826455</v>
      </c>
      <c r="C23" s="57" t="n">
        <v>3.52158596685414</v>
      </c>
      <c r="D23" s="57" t="n">
        <v>-0.7709219048972038</v>
      </c>
      <c r="E23" s="57" t="n">
        <v>0.4519881426050879</v>
      </c>
      <c r="F23" s="57" t="n">
        <v>0.03581469819517977</v>
      </c>
      <c r="G23" s="91" t="n">
        <v>18</v>
      </c>
    </row>
    <row r="24">
      <c r="A24" s="8" t="inlineStr">
        <is>
          <t>Gladstone Land (LAND)</t>
        </is>
      </c>
      <c r="B24" s="57" t="n">
        <v>3.870477583229801</v>
      </c>
      <c r="C24" s="57" t="n">
        <v>8.909438983046062</v>
      </c>
      <c r="D24" s="57" t="n">
        <v>0.4344243886281735</v>
      </c>
      <c r="E24" s="57" t="n">
        <v>0.6723791365521394</v>
      </c>
      <c r="F24" s="57" t="n">
        <v>0.01686738721657895</v>
      </c>
      <c r="G24" s="91" t="n">
        <v>13</v>
      </c>
    </row>
    <row r="25">
      <c r="A25" s="8" t="inlineStr">
        <is>
          <t>Farmland Partners (FPI)</t>
        </is>
      </c>
      <c r="B25" s="57" t="n">
        <v>2.166230807973396</v>
      </c>
      <c r="C25" s="57" t="n">
        <v>5.327584195083812</v>
      </c>
      <c r="D25" s="57" t="n">
        <v>0.4066065835191024</v>
      </c>
      <c r="E25" s="57" t="n">
        <v>0.6928626474812076</v>
      </c>
      <c r="F25" s="57" t="n">
        <v>0.01626400042376068</v>
      </c>
      <c r="G25" s="91" t="n">
        <v>12</v>
      </c>
    </row>
    <row r="26">
      <c r="A26" s="8" t="inlineStr">
        <is>
          <t>S&amp;P/TSX Composite</t>
        </is>
      </c>
      <c r="B26" s="57" t="n">
        <v>-0.3529171027279967</v>
      </c>
      <c r="C26" s="57" t="n">
        <v>1.704029120561317</v>
      </c>
      <c r="D26" s="57" t="n">
        <v>-0.207107436410326</v>
      </c>
      <c r="E26" s="57" t="n">
        <v>0.8370035502907633</v>
      </c>
      <c r="F26" s="57" t="n">
        <v>0.001098624778596537</v>
      </c>
      <c r="G26" s="91" t="n">
        <v>41</v>
      </c>
    </row>
    <row r="27">
      <c r="A27" s="8" t="inlineStr">
        <is>
          <t>S&amp;P 500</t>
        </is>
      </c>
      <c r="B27" s="57" t="n">
        <v>-1.322392364123494</v>
      </c>
      <c r="C27" s="57" t="n">
        <v>1.858923155938345</v>
      </c>
      <c r="D27" s="57" t="n">
        <v>-0.7113754863395514</v>
      </c>
      <c r="E27" s="57" t="n">
        <v>0.4810850698734234</v>
      </c>
      <c r="F27" s="57" t="n">
        <v>0.01280955745915947</v>
      </c>
      <c r="G27" s="91" t="n">
        <v>41</v>
      </c>
    </row>
    <row r="28">
      <c r="A28" s="8" t="inlineStr">
        <is>
          <t>Canadian bonds (XBB)</t>
        </is>
      </c>
      <c r="B28" s="57" t="n">
        <v>-1.969891288258125</v>
      </c>
      <c r="C28" s="57" t="n">
        <v>0.6117291102387772</v>
      </c>
      <c r="D28" s="57" t="n">
        <v>-3.220201973859334</v>
      </c>
      <c r="E28" s="92" t="n">
        <v>0.00365721757181251</v>
      </c>
      <c r="F28" s="57" t="n">
        <v>0.3017105335637553</v>
      </c>
      <c r="G28" s="91" t="n">
        <v>26</v>
      </c>
    </row>
    <row r="31">
      <c r="A31" s="48" t="inlineStr">
        <is>
          <t>Average annual return in high versus low inflation years</t>
        </is>
      </c>
    </row>
    <row r="32">
      <c r="A32" s="6" t="inlineStr">
        <is>
          <t>Split at the median annual inflation rate of 2.13% (21 high years, 20 low years).</t>
        </is>
      </c>
    </row>
    <row r="33" ht="30" customHeight="1">
      <c r="A33" s="7" t="inlineStr">
        <is>
          <t>Asset</t>
        </is>
      </c>
      <c r="B33" s="7" t="inlineStr">
        <is>
          <t>High inflation years</t>
        </is>
      </c>
      <c r="C33" s="7" t="inlineStr">
        <is>
          <t>Low inflation years</t>
        </is>
      </c>
      <c r="D33" s="7" t="inlineStr">
        <is>
          <t>Difference</t>
        </is>
      </c>
    </row>
    <row r="34">
      <c r="A34" s="8" t="inlineStr">
        <is>
          <t>Weyerhaeuser (WY)</t>
        </is>
      </c>
      <c r="B34" s="93" t="n">
        <v>0.1003285307883849</v>
      </c>
      <c r="C34" s="93" t="n">
        <v>0.07415767825556303</v>
      </c>
      <c r="D34" s="94" t="n">
        <v>0.02617085253282184</v>
      </c>
    </row>
    <row r="35">
      <c r="A35" s="8" t="inlineStr">
        <is>
          <t>Rayonier (RYN)</t>
        </is>
      </c>
      <c r="B35" s="93" t="n">
        <v>0.1064011818640727</v>
      </c>
      <c r="C35" s="93" t="n">
        <v>0.1022308790991543</v>
      </c>
      <c r="D35" s="94" t="n">
        <v>0.004170302764918463</v>
      </c>
    </row>
    <row r="36">
      <c r="A36" s="8" t="inlineStr">
        <is>
          <t>Acadian Timber (ADN)</t>
        </is>
      </c>
      <c r="B36" s="93" t="n">
        <v>0.1674994948317472</v>
      </c>
      <c r="C36" s="93" t="n">
        <v>0.1209570198964086</v>
      </c>
      <c r="D36" s="94" t="n">
        <v>0.04654247493533858</v>
      </c>
    </row>
    <row r="37">
      <c r="A37" s="8" t="inlineStr">
        <is>
          <t>Gladstone Land (LAND)</t>
        </is>
      </c>
      <c r="B37" s="93" t="n">
        <v>0.1486975095999995</v>
      </c>
      <c r="C37" s="93" t="n">
        <v>-0.001676688140140548</v>
      </c>
      <c r="D37" s="94" t="n">
        <v>0.15037419774014</v>
      </c>
    </row>
    <row r="38">
      <c r="A38" s="8" t="inlineStr">
        <is>
          <t>Farmland Partners (FPI)</t>
        </is>
      </c>
      <c r="B38" s="93" t="n">
        <v>0.1709562697996046</v>
      </c>
      <c r="C38" s="93" t="n">
        <v>-0.01397161131921596</v>
      </c>
      <c r="D38" s="94" t="n">
        <v>0.1849278811188206</v>
      </c>
    </row>
    <row r="39">
      <c r="A39" s="8" t="inlineStr">
        <is>
          <t>S&amp;P/TSX Composite</t>
        </is>
      </c>
      <c r="B39" s="93" t="n">
        <v>0.08122311402998955</v>
      </c>
      <c r="C39" s="93" t="n">
        <v>0.0662841422480039</v>
      </c>
      <c r="D39" s="94" t="n">
        <v>0.01493897178198565</v>
      </c>
    </row>
    <row r="40">
      <c r="A40" s="8" t="inlineStr">
        <is>
          <t>S&amp;P 500</t>
        </is>
      </c>
      <c r="B40" s="93" t="n">
        <v>0.0959940182346645</v>
      </c>
      <c r="C40" s="93" t="n">
        <v>0.1140932392519323</v>
      </c>
      <c r="D40" s="83" t="n">
        <v>-0.01809922101726777</v>
      </c>
    </row>
    <row r="41">
      <c r="A41" s="8" t="inlineStr">
        <is>
          <t>Canadian bonds (XBB)</t>
        </is>
      </c>
      <c r="B41" s="93" t="n">
        <v>0.03194945497855792</v>
      </c>
      <c r="C41" s="93" t="n">
        <v>0.04025916047697155</v>
      </c>
      <c r="D41" s="83" t="n">
        <v>-0.00830970549841363</v>
      </c>
    </row>
    <row r="43">
      <c r="A43" s="95" t="inlineStr">
        <is>
          <t>Limitation that qualifies everything on this sheet</t>
        </is>
      </c>
    </row>
    <row r="44">
      <c r="A44" s="87" t="inlineStr">
        <is>
          <t>Listed timber and farmland REITs are imperfect proxies for private timberland. They are equities first: they carry market beta, leverage and daily sentiment that a directly held tract does not, so the correlations measured here are an upper bound and understate the diversification a private portfolio would deliver. Appraisal-based private indices have the opposite problem: smoothing suppresses measured correlation and volatility. The truth sits between the two, and neither is available for a 20,000 ha Alberta tract specifically.</t>
        </is>
      </c>
    </row>
    <row r="45"/>
    <row r="46"/>
    <row r="47"/>
    <row r="48"/>
  </sheetData>
  <mergeCells count="4">
    <mergeCell ref="A1:J1"/>
    <mergeCell ref="A44:J48"/>
    <mergeCell ref="A3:J3"/>
    <mergeCell ref="A2:J2"/>
  </mergeCells>
  <conditionalFormatting sqref="B8:I15">
    <cfRule type="colorScale" priority="1">
      <colorScale>
        <cfvo type="num" val="-1"/>
        <cfvo type="num" val="0"/>
        <cfvo type="num" val="1"/>
        <color rgb="001B4332"/>
        <color rgb="00F6F1E7"/>
        <color rgb="00C1663B"/>
      </colorScale>
    </cfRule>
  </conditionalFormatting>
  <printOptions horizontalCentered="1"/>
  <pageMargins left="0.75" right="0.75" top="1" bottom="1" header="0.5" footer="0.5"/>
  <pageSetup orientation="landscape" fitToHeight="0" fitToWidth="1"/>
  <headerFooter>
    <oddHeader/>
    <oddFooter>&amp;L&amp;8 HYPOTHETICAL TRACT, FOR PORTFOLIO PURPOSES ONLY. NOT INVESTMENT ADVICE.&amp;R&amp;8 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2026-09-25T04:58:39Z</dcterms:created>
  <dcterms:modified xmlns:dcterms="http://purl.org/dc/terms/" xmlns:xsi="http://www.w3.org/2001/XMLSchema-instance" xsi:type="dcterms:W3CDTF">2026-09-25T04:58:39Z</dcterms:modified>
</cp:coreProperties>
</file>